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SBANA\Projects\VBscript\"/>
    </mc:Choice>
  </mc:AlternateContent>
  <xr:revisionPtr revIDLastSave="0" documentId="13_ncr:1_{340CBDD7-5FE1-4425-B9AB-A993B4EC257A}" xr6:coauthVersionLast="45" xr6:coauthVersionMax="45" xr10:uidLastSave="{00000000-0000-0000-0000-000000000000}"/>
  <bookViews>
    <workbookView xWindow="-98" yWindow="-98" windowWidth="19396" windowHeight="10395" activeTab="2" xr2:uid="{8DB6CEE0-16F8-4B0E-B58C-511847C9EB59}"/>
  </bookViews>
  <sheets>
    <sheet name="DailyInventory" sheetId="3" r:id="rId1"/>
    <sheet name="IRLInv" sheetId="1" r:id="rId2"/>
    <sheet name="HospInv" sheetId="2" r:id="rId3"/>
    <sheet name="Mail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4" l="1"/>
  <c r="C3" i="4"/>
  <c r="B41" i="2" l="1"/>
  <c r="A34" i="2"/>
  <c r="H30" i="2"/>
  <c r="G30" i="2"/>
  <c r="D30" i="2"/>
  <c r="C30" i="2"/>
  <c r="I30" i="2"/>
  <c r="F30" i="2"/>
  <c r="E30" i="2"/>
  <c r="B30" i="2"/>
  <c r="A23" i="2"/>
  <c r="J30" i="2" l="1"/>
  <c r="A17" i="3"/>
  <c r="A1" i="3"/>
  <c r="J38" i="3" l="1"/>
  <c r="J37" i="3"/>
  <c r="I30" i="3"/>
  <c r="H30" i="3"/>
  <c r="G30" i="3"/>
  <c r="F30" i="3"/>
  <c r="E30" i="3"/>
  <c r="D30" i="3"/>
  <c r="C30" i="3"/>
  <c r="B30" i="3"/>
  <c r="C7" i="4"/>
  <c r="C1" i="4"/>
  <c r="J30" i="3" l="1"/>
  <c r="D29" i="3"/>
  <c r="D33" i="3" s="1"/>
  <c r="G29" i="3"/>
  <c r="G31" i="3" s="1"/>
  <c r="E29" i="3"/>
  <c r="E32" i="3" s="1"/>
  <c r="C29" i="3"/>
  <c r="C31" i="3" s="1"/>
  <c r="I29" i="3"/>
  <c r="I31" i="3" s="1"/>
  <c r="F29" i="3"/>
  <c r="F32" i="3" s="1"/>
  <c r="B29" i="3"/>
  <c r="B32" i="3" s="1"/>
  <c r="H29" i="3"/>
  <c r="H32" i="3" s="1"/>
  <c r="F16" i="2"/>
  <c r="B16" i="2"/>
  <c r="P10" i="2"/>
  <c r="H16" i="2" s="1"/>
  <c r="N10" i="2"/>
  <c r="G16" i="2" s="1"/>
  <c r="L10" i="2"/>
  <c r="J10" i="2"/>
  <c r="E16" i="2" s="1"/>
  <c r="H10" i="2"/>
  <c r="D16" i="2" s="1"/>
  <c r="F10" i="2"/>
  <c r="C16" i="2" s="1"/>
  <c r="D10" i="2"/>
  <c r="B10" i="2"/>
  <c r="A16" i="2" s="1"/>
  <c r="Q10" i="2" l="1"/>
  <c r="C33" i="3"/>
  <c r="F31" i="3"/>
  <c r="D31" i="3"/>
  <c r="D32" i="3"/>
  <c r="C32" i="3"/>
  <c r="I32" i="3"/>
  <c r="I33" i="3"/>
  <c r="G32" i="3"/>
  <c r="E33" i="3"/>
  <c r="B31" i="3"/>
  <c r="H31" i="3"/>
  <c r="H33" i="3"/>
  <c r="G33" i="3"/>
  <c r="J29" i="3"/>
  <c r="J31" i="3" s="1"/>
  <c r="F33" i="3"/>
  <c r="E31" i="3"/>
  <c r="B33" i="3"/>
  <c r="J32" i="3" l="1"/>
  <c r="J33" i="3"/>
</calcChain>
</file>

<file path=xl/sharedStrings.xml><?xml version="1.0" encoding="utf-8"?>
<sst xmlns="http://schemas.openxmlformats.org/spreadsheetml/2006/main" count="225" uniqueCount="113">
  <si>
    <t>NEW TABULATOR</t>
  </si>
  <si>
    <t>O+ xm</t>
  </si>
  <si>
    <t>O+ um</t>
  </si>
  <si>
    <t>O- xm</t>
  </si>
  <si>
    <t>O- um</t>
  </si>
  <si>
    <t>A+ xm</t>
  </si>
  <si>
    <t>A+ um</t>
  </si>
  <si>
    <t>A- xm</t>
  </si>
  <si>
    <t>A- um</t>
  </si>
  <si>
    <t>B+ xm</t>
  </si>
  <si>
    <t>B+ um</t>
  </si>
  <si>
    <t>B- xm</t>
  </si>
  <si>
    <t>B- um</t>
  </si>
  <si>
    <t>AB+ xm</t>
  </si>
  <si>
    <t>AB+ um</t>
  </si>
  <si>
    <t>AB- xm</t>
  </si>
  <si>
    <t>AB- um</t>
  </si>
  <si>
    <t>TOTAL</t>
  </si>
  <si>
    <t>total O+</t>
  </si>
  <si>
    <t>total O-</t>
  </si>
  <si>
    <t>total A+</t>
  </si>
  <si>
    <t>total A-</t>
  </si>
  <si>
    <t>total B+</t>
  </si>
  <si>
    <t>total B-</t>
  </si>
  <si>
    <t>total AB+</t>
  </si>
  <si>
    <t>total AB-</t>
  </si>
  <si>
    <t xml:space="preserve"> </t>
  </si>
  <si>
    <t>TOTAL xm</t>
  </si>
  <si>
    <t>TOTAL um</t>
  </si>
  <si>
    <t xml:space="preserve">O+  </t>
  </si>
  <si>
    <t xml:space="preserve">O-  </t>
  </si>
  <si>
    <t>A+</t>
  </si>
  <si>
    <t>A-</t>
  </si>
  <si>
    <t>B+</t>
  </si>
  <si>
    <t>B-</t>
  </si>
  <si>
    <t>AB+</t>
  </si>
  <si>
    <t>AB-</t>
  </si>
  <si>
    <t>copy/paste  to "RED CELLS AT OUR HOSPITALS" (Daily Inventory Spreadsheet)</t>
  </si>
  <si>
    <t>PDF Creation</t>
  </si>
  <si>
    <t>Name</t>
  </si>
  <si>
    <t>Location</t>
  </si>
  <si>
    <t>Link</t>
  </si>
  <si>
    <t>Email Send</t>
  </si>
  <si>
    <t>To:</t>
  </si>
  <si>
    <t>CC:</t>
  </si>
  <si>
    <t>Subject:</t>
  </si>
  <si>
    <t>Body</t>
  </si>
  <si>
    <t>Body of the mail</t>
  </si>
  <si>
    <t>PDF Attachment</t>
  </si>
  <si>
    <t>Please find the report for last week attached</t>
  </si>
  <si>
    <t xml:space="preserve">Historical reports are stored here: </t>
  </si>
  <si>
    <t>C:\Users\username\Desktop\PDF Sender and Saver\PDF Records</t>
  </si>
  <si>
    <t>(This is a auto email - let me know if you find any issues so I can fix)</t>
  </si>
  <si>
    <t>DAILY INVENTORY</t>
  </si>
  <si>
    <t>RED CELLS IN HOXWORTH AVAILABLE FOR SHIPPING</t>
  </si>
  <si>
    <t>A +</t>
  </si>
  <si>
    <t>A -</t>
  </si>
  <si>
    <t>AB +</t>
  </si>
  <si>
    <t>AB -</t>
  </si>
  <si>
    <t>B +</t>
  </si>
  <si>
    <t>B -</t>
  </si>
  <si>
    <t>O +</t>
  </si>
  <si>
    <t>O -</t>
  </si>
  <si>
    <t>TOTAL INVENTORY</t>
  </si>
  <si>
    <t>PM INVENTORY</t>
  </si>
  <si>
    <t>IRL INVENTORY</t>
  </si>
  <si>
    <t>REQUIRED NUMBER</t>
  </si>
  <si>
    <t>DIFFERENCE</t>
  </si>
  <si>
    <t>ESTIMATED ABO BREAKDOWN OF RED CELLS AVAILABLE TO LABEL</t>
  </si>
  <si>
    <t>TODAY</t>
  </si>
  <si>
    <t>NUMBER OF RED CELLS DISTRIBUTED</t>
  </si>
  <si>
    <t>RED CELLS AT OUR HOSPITALS</t>
  </si>
  <si>
    <t>NUMBER OF RED CELLS IN THE TOTAL SYSTEM</t>
  </si>
  <si>
    <t>ABOVE</t>
  </si>
  <si>
    <t>BELOW</t>
  </si>
  <si>
    <t>Percent</t>
  </si>
  <si>
    <t>PLATELETS, FRESH FROZEN PLASMA AND CRYOPRECIPITATED AHF</t>
  </si>
  <si>
    <t>Apheresis Platelets</t>
  </si>
  <si>
    <t>SUM_FFP</t>
  </si>
  <si>
    <t>SUM_CRYO</t>
  </si>
  <si>
    <t>SUM_CRYO_POOL</t>
  </si>
  <si>
    <t>SUM_LIQ_PLASMA</t>
  </si>
  <si>
    <t>SUM_PREPOOL</t>
  </si>
  <si>
    <t>HOSPITAL INVENTORY</t>
  </si>
  <si>
    <t>COUNTY HOSPITALS</t>
  </si>
  <si>
    <t>information from Label Validated Report - enter in cells B25-I25</t>
  </si>
  <si>
    <t>RED BLOOD CELLS</t>
  </si>
  <si>
    <t>O+</t>
  </si>
  <si>
    <t>O-</t>
  </si>
  <si>
    <t>LBLV Inventory</t>
  </si>
  <si>
    <t>71%-100%</t>
  </si>
  <si>
    <t>good</t>
  </si>
  <si>
    <t>46%-70%</t>
  </si>
  <si>
    <t xml:space="preserve">       low</t>
  </si>
  <si>
    <t>26%-45%</t>
  </si>
  <si>
    <t>very low</t>
  </si>
  <si>
    <t>% inventory</t>
  </si>
  <si>
    <t>0%-25%</t>
  </si>
  <si>
    <t>critical</t>
  </si>
  <si>
    <t>percent above/below</t>
  </si>
  <si>
    <t>Percentage Total System</t>
  </si>
  <si>
    <t>Below Desired</t>
  </si>
  <si>
    <t>Percentage Shipped</t>
  </si>
  <si>
    <t>information from Available Platelet by Expiration Date - enter in cells BC35 and BC39</t>
  </si>
  <si>
    <t>PLATELETS</t>
  </si>
  <si>
    <t>APLT total</t>
  </si>
  <si>
    <t>Required</t>
  </si>
  <si>
    <t>difference</t>
  </si>
  <si>
    <t>% of required</t>
  </si>
  <si>
    <t>total AB</t>
  </si>
  <si>
    <t>notify hospital of the amount needed to bring them to fully stock and the amount we are sending</t>
  </si>
  <si>
    <t>% above/below</t>
  </si>
  <si>
    <t>C:\****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</si>
</sst>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504D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rgb="FF505050"/>
      <name val="Arial"/>
      <family val="2"/>
    </font>
    <font>
      <b/>
      <sz val="9"/>
      <name val="Calibri"/>
      <family val="2"/>
      <scheme val="minor"/>
    </font>
    <font>
      <b/>
      <i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Verdana"/>
      <family val="2"/>
    </font>
    <font>
      <u/>
      <sz val="10"/>
      <color theme="1"/>
      <name val="Verdana"/>
      <family val="2"/>
    </font>
    <font>
      <sz val="10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66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393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0" applyFont="1"/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/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1" fillId="0" borderId="10" xfId="0" applyFont="1" applyBorder="1"/>
    <xf numFmtId="0" fontId="1" fillId="0" borderId="11" xfId="0" applyFont="1" applyBorder="1"/>
    <xf numFmtId="0" fontId="4" fillId="0" borderId="12" xfId="0" applyFont="1" applyBorder="1"/>
    <xf numFmtId="0" fontId="4" fillId="0" borderId="13" xfId="0" applyFont="1" applyBorder="1"/>
    <xf numFmtId="0" fontId="5" fillId="4" borderId="4" xfId="0" applyFont="1" applyFill="1" applyBorder="1"/>
    <xf numFmtId="0" fontId="5" fillId="4" borderId="5" xfId="0" applyFont="1" applyFill="1" applyBorder="1"/>
    <xf numFmtId="0" fontId="4" fillId="3" borderId="9" xfId="0" applyFont="1" applyFill="1" applyBorder="1"/>
    <xf numFmtId="0" fontId="4" fillId="3" borderId="8" xfId="0" applyFont="1" applyFill="1" applyBorder="1"/>
    <xf numFmtId="0" fontId="4" fillId="3" borderId="15" xfId="0" applyFont="1" applyFill="1" applyBorder="1"/>
    <xf numFmtId="0" fontId="4" fillId="0" borderId="0" xfId="0" applyFont="1"/>
    <xf numFmtId="0" fontId="4" fillId="3" borderId="4" xfId="0" applyFont="1" applyFill="1" applyBorder="1"/>
    <xf numFmtId="0" fontId="4" fillId="3" borderId="5" xfId="0" applyFont="1" applyFill="1" applyBorder="1"/>
    <xf numFmtId="0" fontId="4" fillId="3" borderId="6" xfId="0" applyFont="1" applyFill="1" applyBorder="1"/>
    <xf numFmtId="0" fontId="4" fillId="3" borderId="14" xfId="0" applyFont="1" applyFill="1" applyBorder="1"/>
    <xf numFmtId="0" fontId="4" fillId="4" borderId="9" xfId="0" applyFont="1" applyFill="1" applyBorder="1"/>
    <xf numFmtId="0" fontId="4" fillId="4" borderId="8" xfId="0" applyFont="1" applyFill="1" applyBorder="1"/>
    <xf numFmtId="0" fontId="4" fillId="4" borderId="7" xfId="0" applyFont="1" applyFill="1" applyBorder="1"/>
    <xf numFmtId="0" fontId="4" fillId="4" borderId="15" xfId="0" applyFont="1" applyFill="1" applyBorder="1"/>
    <xf numFmtId="0" fontId="1" fillId="3" borderId="1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5" borderId="0" xfId="0" applyFont="1" applyFill="1"/>
    <xf numFmtId="0" fontId="4" fillId="5" borderId="0" xfId="0" applyFont="1" applyFill="1"/>
    <xf numFmtId="0" fontId="0" fillId="0" borderId="0" xfId="0" applyAlignment="1">
      <alignment vertical="center"/>
    </xf>
    <xf numFmtId="0" fontId="6" fillId="0" borderId="0" xfId="1"/>
    <xf numFmtId="15" fontId="8" fillId="0" borderId="0" xfId="0" applyNumberFormat="1" applyFont="1" applyAlignment="1">
      <alignment horizontal="left" vertical="center"/>
    </xf>
    <xf numFmtId="0" fontId="0" fillId="0" borderId="0" xfId="0" applyFont="1"/>
    <xf numFmtId="14" fontId="0" fillId="0" borderId="0" xfId="0" applyNumberFormat="1"/>
    <xf numFmtId="14" fontId="10" fillId="0" borderId="0" xfId="0" applyNumberFormat="1" applyFont="1"/>
    <xf numFmtId="1" fontId="11" fillId="0" borderId="8" xfId="0" applyNumberFormat="1" applyFont="1" applyBorder="1"/>
    <xf numFmtId="1" fontId="11" fillId="0" borderId="14" xfId="0" applyNumberFormat="1" applyFont="1" applyBorder="1" applyAlignment="1">
      <alignment horizontal="center"/>
    </xf>
    <xf numFmtId="1" fontId="12" fillId="0" borderId="14" xfId="0" applyNumberFormat="1" applyFont="1" applyBorder="1" applyAlignment="1">
      <alignment horizontal="center"/>
    </xf>
    <xf numFmtId="1" fontId="13" fillId="0" borderId="14" xfId="0" applyNumberFormat="1" applyFont="1" applyBorder="1"/>
    <xf numFmtId="1" fontId="13" fillId="6" borderId="14" xfId="0" applyNumberFormat="1" applyFont="1" applyFill="1" applyBorder="1" applyAlignment="1">
      <alignment horizontal="center"/>
    </xf>
    <xf numFmtId="1" fontId="13" fillId="7" borderId="14" xfId="0" applyNumberFormat="1" applyFont="1" applyFill="1" applyBorder="1" applyAlignment="1">
      <alignment horizontal="center"/>
    </xf>
    <xf numFmtId="1" fontId="13" fillId="8" borderId="14" xfId="0" applyNumberFormat="1" applyFont="1" applyFill="1" applyBorder="1" applyAlignment="1">
      <alignment horizontal="center"/>
    </xf>
    <xf numFmtId="1" fontId="14" fillId="7" borderId="14" xfId="0" applyNumberFormat="1" applyFont="1" applyFill="1" applyBorder="1" applyAlignment="1">
      <alignment horizontal="center"/>
    </xf>
    <xf numFmtId="1" fontId="13" fillId="0" borderId="0" xfId="0" applyNumberFormat="1" applyFont="1"/>
    <xf numFmtId="1" fontId="14" fillId="0" borderId="0" xfId="0" applyNumberFormat="1" applyFont="1"/>
    <xf numFmtId="2" fontId="11" fillId="0" borderId="0" xfId="0" applyNumberFormat="1" applyFont="1" applyAlignment="1">
      <alignment horizontal="center"/>
    </xf>
    <xf numFmtId="2" fontId="12" fillId="0" borderId="14" xfId="0" applyNumberFormat="1" applyFont="1" applyBorder="1" applyAlignment="1" applyProtection="1">
      <alignment horizontal="center"/>
      <protection hidden="1"/>
    </xf>
    <xf numFmtId="1" fontId="14" fillId="9" borderId="14" xfId="0" applyNumberFormat="1" applyFont="1" applyFill="1" applyBorder="1" applyAlignment="1" applyProtection="1">
      <alignment horizontal="center"/>
      <protection hidden="1"/>
    </xf>
    <xf numFmtId="1" fontId="13" fillId="0" borderId="22" xfId="0" applyNumberFormat="1" applyFont="1" applyBorder="1"/>
    <xf numFmtId="1" fontId="13" fillId="0" borderId="22" xfId="0" applyNumberFormat="1" applyFont="1" applyBorder="1" applyAlignment="1">
      <alignment horizontal="center"/>
    </xf>
    <xf numFmtId="1" fontId="14" fillId="0" borderId="22" xfId="0" applyNumberFormat="1" applyFont="1" applyBorder="1" applyAlignment="1" applyProtection="1">
      <alignment horizontal="center"/>
      <protection hidden="1"/>
    </xf>
    <xf numFmtId="2" fontId="15" fillId="0" borderId="0" xfId="0" applyNumberFormat="1" applyFont="1" applyAlignment="1">
      <alignment horizontal="left"/>
    </xf>
    <xf numFmtId="2" fontId="11" fillId="0" borderId="14" xfId="0" applyNumberFormat="1" applyFont="1" applyBorder="1" applyAlignment="1">
      <alignment horizontal="center"/>
    </xf>
    <xf numFmtId="1" fontId="13" fillId="10" borderId="14" xfId="0" applyNumberFormat="1" applyFont="1" applyFill="1" applyBorder="1" applyAlignment="1">
      <alignment horizontal="center"/>
    </xf>
    <xf numFmtId="1" fontId="14" fillId="7" borderId="4" xfId="0" applyNumberFormat="1" applyFont="1" applyFill="1" applyBorder="1" applyAlignment="1" applyProtection="1">
      <alignment horizontal="center"/>
      <protection hidden="1"/>
    </xf>
    <xf numFmtId="1" fontId="13" fillId="0" borderId="0" xfId="0" applyNumberFormat="1" applyFont="1" applyAlignment="1">
      <alignment horizontal="center"/>
    </xf>
    <xf numFmtId="1" fontId="14" fillId="0" borderId="0" xfId="0" applyNumberFormat="1" applyFont="1" applyAlignment="1" applyProtection="1">
      <alignment horizontal="center"/>
      <protection hidden="1"/>
    </xf>
    <xf numFmtId="1" fontId="13" fillId="11" borderId="15" xfId="0" applyNumberFormat="1" applyFont="1" applyFill="1" applyBorder="1" applyAlignment="1" applyProtection="1">
      <alignment horizontal="center"/>
      <protection hidden="1"/>
    </xf>
    <xf numFmtId="1" fontId="14" fillId="7" borderId="14" xfId="0" applyNumberFormat="1" applyFont="1" applyFill="1" applyBorder="1" applyAlignment="1" applyProtection="1">
      <alignment horizontal="center"/>
      <protection hidden="1"/>
    </xf>
    <xf numFmtId="1" fontId="14" fillId="0" borderId="0" xfId="0" applyNumberFormat="1" applyFont="1" applyProtection="1">
      <protection hidden="1"/>
    </xf>
    <xf numFmtId="1" fontId="11" fillId="0" borderId="7" xfId="0" applyNumberFormat="1" applyFont="1" applyBorder="1" applyAlignment="1">
      <alignment horizontal="center"/>
    </xf>
    <xf numFmtId="1" fontId="14" fillId="12" borderId="14" xfId="0" applyNumberFormat="1" applyFont="1" applyFill="1" applyBorder="1" applyAlignment="1">
      <alignment horizontal="right" vertical="center"/>
    </xf>
    <xf numFmtId="164" fontId="14" fillId="12" borderId="14" xfId="0" applyNumberFormat="1" applyFont="1" applyFill="1" applyBorder="1" applyAlignment="1">
      <alignment horizontal="center" vertical="center"/>
    </xf>
    <xf numFmtId="1" fontId="14" fillId="0" borderId="0" xfId="0" applyNumberFormat="1" applyFont="1" applyAlignment="1">
      <alignment horizontal="center"/>
    </xf>
    <xf numFmtId="1" fontId="12" fillId="0" borderId="4" xfId="0" applyNumberFormat="1" applyFont="1" applyBorder="1" applyAlignment="1">
      <alignment horizontal="center"/>
    </xf>
    <xf numFmtId="1" fontId="13" fillId="13" borderId="14" xfId="0" applyNumberFormat="1" applyFont="1" applyFill="1" applyBorder="1" applyAlignment="1">
      <alignment horizontal="center"/>
    </xf>
    <xf numFmtId="1" fontId="13" fillId="0" borderId="15" xfId="0" applyNumberFormat="1" applyFont="1" applyBorder="1"/>
    <xf numFmtId="0" fontId="16" fillId="0" borderId="14" xfId="0" applyFont="1" applyBorder="1"/>
    <xf numFmtId="1" fontId="14" fillId="6" borderId="14" xfId="0" applyNumberFormat="1" applyFont="1" applyFill="1" applyBorder="1" applyAlignment="1">
      <alignment horizontal="center"/>
    </xf>
    <xf numFmtId="1" fontId="13" fillId="6" borderId="14" xfId="0" quotePrefix="1" applyNumberFormat="1" applyFont="1" applyFill="1" applyBorder="1" applyAlignment="1">
      <alignment horizontal="center"/>
    </xf>
    <xf numFmtId="49" fontId="13" fillId="6" borderId="14" xfId="0" applyNumberFormat="1" applyFont="1" applyFill="1" applyBorder="1" applyAlignment="1">
      <alignment horizontal="center"/>
    </xf>
    <xf numFmtId="49" fontId="14" fillId="6" borderId="14" xfId="0" applyNumberFormat="1" applyFont="1" applyFill="1" applyBorder="1" applyAlignment="1">
      <alignment horizontal="center"/>
    </xf>
    <xf numFmtId="16" fontId="13" fillId="6" borderId="14" xfId="0" applyNumberFormat="1" applyFont="1" applyFill="1" applyBorder="1" applyAlignment="1">
      <alignment horizontal="center"/>
    </xf>
    <xf numFmtId="0" fontId="13" fillId="6" borderId="14" xfId="0" applyFont="1" applyFill="1" applyBorder="1" applyAlignment="1">
      <alignment horizontal="center"/>
    </xf>
    <xf numFmtId="0" fontId="17" fillId="0" borderId="0" xfId="0" applyFont="1"/>
    <xf numFmtId="1" fontId="19" fillId="0" borderId="28" xfId="0" applyNumberFormat="1" applyFont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1" fontId="20" fillId="0" borderId="29" xfId="0" applyNumberFormat="1" applyFont="1" applyBorder="1" applyAlignment="1">
      <alignment horizontal="center" vertical="center"/>
    </xf>
    <xf numFmtId="1" fontId="21" fillId="0" borderId="30" xfId="0" applyNumberFormat="1" applyFont="1" applyBorder="1" applyAlignment="1">
      <alignment horizontal="center" vertical="center"/>
    </xf>
    <xf numFmtId="1" fontId="22" fillId="0" borderId="31" xfId="0" applyNumberFormat="1" applyFont="1" applyBorder="1" applyAlignment="1">
      <alignment horizontal="center" vertical="center"/>
    </xf>
    <xf numFmtId="1" fontId="22" fillId="0" borderId="14" xfId="0" applyNumberFormat="1" applyFont="1" applyBorder="1" applyAlignment="1">
      <alignment horizontal="center" vertical="center"/>
    </xf>
    <xf numFmtId="1" fontId="22" fillId="7" borderId="32" xfId="0" applyNumberFormat="1" applyFont="1" applyFill="1" applyBorder="1" applyAlignment="1">
      <alignment horizontal="center" vertical="center"/>
    </xf>
    <xf numFmtId="20" fontId="18" fillId="0" borderId="33" xfId="0" applyNumberFormat="1" applyFont="1" applyBorder="1" applyAlignment="1">
      <alignment horizontal="center"/>
    </xf>
    <xf numFmtId="0" fontId="23" fillId="15" borderId="33" xfId="0" applyFont="1" applyFill="1" applyBorder="1" applyAlignment="1">
      <alignment horizontal="center"/>
    </xf>
    <xf numFmtId="1" fontId="21" fillId="0" borderId="34" xfId="0" applyNumberFormat="1" applyFont="1" applyBorder="1" applyAlignment="1">
      <alignment horizontal="center" vertical="center"/>
    </xf>
    <xf numFmtId="1" fontId="22" fillId="7" borderId="31" xfId="0" applyNumberFormat="1" applyFont="1" applyFill="1" applyBorder="1" applyAlignment="1">
      <alignment horizontal="center" vertical="center"/>
    </xf>
    <xf numFmtId="1" fontId="22" fillId="7" borderId="14" xfId="0" applyNumberFormat="1" applyFont="1" applyFill="1" applyBorder="1" applyAlignment="1">
      <alignment horizontal="center" vertical="center"/>
    </xf>
    <xf numFmtId="1" fontId="24" fillId="7" borderId="32" xfId="0" applyNumberFormat="1" applyFont="1" applyFill="1" applyBorder="1" applyAlignment="1">
      <alignment horizontal="center" vertical="center"/>
    </xf>
    <xf numFmtId="20" fontId="18" fillId="0" borderId="35" xfId="0" applyNumberFormat="1" applyFont="1" applyBorder="1" applyAlignment="1">
      <alignment horizontal="center"/>
    </xf>
    <xf numFmtId="0" fontId="18" fillId="16" borderId="35" xfId="0" applyFont="1" applyFill="1" applyBorder="1"/>
    <xf numFmtId="1" fontId="21" fillId="0" borderId="36" xfId="0" applyNumberFormat="1" applyFont="1" applyBorder="1" applyAlignment="1">
      <alignment horizontal="center" vertical="center"/>
    </xf>
    <xf numFmtId="1" fontId="22" fillId="7" borderId="37" xfId="0" applyNumberFormat="1" applyFont="1" applyFill="1" applyBorder="1" applyAlignment="1">
      <alignment horizontal="center" vertical="center"/>
    </xf>
    <xf numFmtId="1" fontId="22" fillId="7" borderId="12" xfId="0" applyNumberFormat="1" applyFont="1" applyFill="1" applyBorder="1" applyAlignment="1">
      <alignment horizontal="center" vertical="center"/>
    </xf>
    <xf numFmtId="1" fontId="24" fillId="7" borderId="38" xfId="0" applyNumberFormat="1" applyFont="1" applyFill="1" applyBorder="1" applyAlignment="1">
      <alignment horizontal="center" vertical="center"/>
    </xf>
    <xf numFmtId="0" fontId="18" fillId="0" borderId="35" xfId="0" applyFont="1" applyBorder="1" applyAlignment="1">
      <alignment horizontal="center"/>
    </xf>
    <xf numFmtId="0" fontId="18" fillId="17" borderId="35" xfId="0" applyFont="1" applyFill="1" applyBorder="1" applyAlignment="1">
      <alignment horizontal="center"/>
    </xf>
    <xf numFmtId="0" fontId="17" fillId="0" borderId="39" xfId="0" applyFont="1" applyBorder="1" applyAlignment="1">
      <alignment horizontal="center" vertical="center"/>
    </xf>
    <xf numFmtId="1" fontId="17" fillId="0" borderId="40" xfId="0" applyNumberFormat="1" applyFont="1" applyBorder="1" applyAlignment="1">
      <alignment horizontal="center" vertical="center"/>
    </xf>
    <xf numFmtId="1" fontId="17" fillId="0" borderId="41" xfId="0" applyNumberFormat="1" applyFont="1" applyBorder="1" applyAlignment="1">
      <alignment horizontal="center" vertical="center"/>
    </xf>
    <xf numFmtId="1" fontId="17" fillId="0" borderId="42" xfId="0" applyNumberFormat="1" applyFont="1" applyBorder="1" applyAlignment="1">
      <alignment horizontal="center" vertical="center"/>
    </xf>
    <xf numFmtId="1" fontId="17" fillId="18" borderId="39" xfId="0" applyNumberFormat="1" applyFont="1" applyFill="1" applyBorder="1" applyAlignment="1">
      <alignment horizontal="center" vertical="center"/>
    </xf>
    <xf numFmtId="0" fontId="18" fillId="0" borderId="43" xfId="0" applyFont="1" applyBorder="1" applyAlignment="1">
      <alignment horizontal="center"/>
    </xf>
    <xf numFmtId="0" fontId="18" fillId="19" borderId="43" xfId="0" applyFont="1" applyFill="1" applyBorder="1" applyAlignment="1">
      <alignment horizontal="center"/>
    </xf>
    <xf numFmtId="0" fontId="25" fillId="0" borderId="14" xfId="0" applyFont="1" applyBorder="1" applyAlignment="1">
      <alignment wrapText="1"/>
    </xf>
    <xf numFmtId="1" fontId="0" fillId="7" borderId="14" xfId="0" applyNumberFormat="1" applyFill="1" applyBorder="1"/>
    <xf numFmtId="0" fontId="25" fillId="0" borderId="0" xfId="0" applyFont="1" applyAlignment="1">
      <alignment horizontal="center" wrapText="1"/>
    </xf>
    <xf numFmtId="0" fontId="27" fillId="0" borderId="28" xfId="0" applyFont="1" applyBorder="1" applyAlignment="1">
      <alignment horizontal="center" vertical="center" wrapText="1"/>
    </xf>
    <xf numFmtId="9" fontId="26" fillId="15" borderId="31" xfId="0" applyNumberFormat="1" applyFont="1" applyFill="1" applyBorder="1" applyAlignment="1">
      <alignment horizontal="center" vertical="center" wrapText="1"/>
    </xf>
    <xf numFmtId="14" fontId="0" fillId="0" borderId="39" xfId="0" applyNumberFormat="1" applyBorder="1" applyAlignment="1">
      <alignment horizontal="center"/>
    </xf>
    <xf numFmtId="0" fontId="29" fillId="0" borderId="28" xfId="0" applyFont="1" applyBorder="1" applyAlignment="1">
      <alignment horizontal="center" wrapText="1"/>
    </xf>
    <xf numFmtId="164" fontId="26" fillId="15" borderId="31" xfId="0" applyNumberFormat="1" applyFont="1" applyFill="1" applyBorder="1" applyAlignment="1">
      <alignment horizontal="center" vertical="center" wrapText="1"/>
    </xf>
    <xf numFmtId="0" fontId="29" fillId="0" borderId="31" xfId="0" applyFont="1" applyBorder="1" applyAlignment="1">
      <alignment horizontal="center" wrapText="1"/>
    </xf>
    <xf numFmtId="0" fontId="18" fillId="0" borderId="0" xfId="0" applyFont="1"/>
    <xf numFmtId="0" fontId="29" fillId="0" borderId="34" xfId="0" applyFont="1" applyBorder="1" applyAlignment="1">
      <alignment horizontal="center" wrapText="1"/>
    </xf>
    <xf numFmtId="0" fontId="7" fillId="0" borderId="3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/>
    </xf>
    <xf numFmtId="9" fontId="26" fillId="16" borderId="31" xfId="0" applyNumberFormat="1" applyFont="1" applyFill="1" applyBorder="1" applyAlignment="1">
      <alignment horizontal="center" vertical="center" wrapText="1"/>
    </xf>
    <xf numFmtId="0" fontId="29" fillId="0" borderId="14" xfId="0" applyFont="1" applyBorder="1" applyAlignment="1">
      <alignment horizontal="center" wrapText="1"/>
    </xf>
    <xf numFmtId="0" fontId="7" fillId="0" borderId="0" xfId="0" applyFont="1" applyAlignment="1">
      <alignment horizontal="center"/>
    </xf>
    <xf numFmtId="9" fontId="26" fillId="16" borderId="19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1" fontId="9" fillId="0" borderId="0" xfId="0" applyNumberFormat="1" applyFont="1" applyAlignment="1">
      <alignment horizontal="left"/>
    </xf>
    <xf numFmtId="2" fontId="15" fillId="0" borderId="0" xfId="0" applyNumberFormat="1" applyFont="1" applyAlignment="1">
      <alignment horizontal="left"/>
    </xf>
    <xf numFmtId="1" fontId="30" fillId="0" borderId="24" xfId="0" applyNumberFormat="1" applyFont="1" applyBorder="1" applyAlignment="1">
      <alignment horizontal="center" wrapText="1"/>
    </xf>
    <xf numFmtId="1" fontId="30" fillId="0" borderId="26" xfId="0" applyNumberFormat="1" applyFont="1" applyBorder="1" applyAlignment="1">
      <alignment horizontal="center" wrapText="1"/>
    </xf>
    <xf numFmtId="9" fontId="28" fillId="0" borderId="14" xfId="0" applyNumberFormat="1" applyFont="1" applyBorder="1" applyAlignment="1">
      <alignment horizontal="center" vertical="center" wrapText="1"/>
    </xf>
    <xf numFmtId="9" fontId="28" fillId="0" borderId="32" xfId="0" applyNumberFormat="1" applyFont="1" applyBorder="1" applyAlignment="1">
      <alignment horizontal="center" vertical="center" wrapText="1"/>
    </xf>
    <xf numFmtId="0" fontId="17" fillId="0" borderId="49" xfId="0" applyFont="1" applyBorder="1" applyAlignment="1">
      <alignment horizontal="center"/>
    </xf>
    <xf numFmtId="0" fontId="17" fillId="0" borderId="50" xfId="0" applyFont="1" applyBorder="1" applyAlignment="1">
      <alignment horizontal="center"/>
    </xf>
    <xf numFmtId="9" fontId="28" fillId="20" borderId="14" xfId="0" applyNumberFormat="1" applyFont="1" applyFill="1" applyBorder="1" applyAlignment="1">
      <alignment horizontal="center" vertical="center" wrapText="1"/>
    </xf>
    <xf numFmtId="9" fontId="28" fillId="20" borderId="4" xfId="0" applyNumberFormat="1" applyFont="1" applyFill="1" applyBorder="1" applyAlignment="1">
      <alignment horizontal="center" vertical="center" wrapText="1"/>
    </xf>
    <xf numFmtId="20" fontId="29" fillId="0" borderId="51" xfId="0" applyNumberFormat="1" applyFont="1" applyBorder="1" applyAlignment="1">
      <alignment horizontal="center" wrapText="1"/>
    </xf>
    <xf numFmtId="20" fontId="29" fillId="0" borderId="52" xfId="0" applyNumberFormat="1" applyFont="1" applyBorder="1" applyAlignment="1">
      <alignment horizontal="center" wrapText="1"/>
    </xf>
    <xf numFmtId="20" fontId="29" fillId="0" borderId="53" xfId="0" applyNumberFormat="1" applyFont="1" applyBorder="1" applyAlignment="1">
      <alignment horizontal="center" wrapText="1"/>
    </xf>
    <xf numFmtId="20" fontId="29" fillId="0" borderId="54" xfId="0" applyNumberFormat="1" applyFont="1" applyBorder="1" applyAlignment="1">
      <alignment horizontal="center" wrapText="1"/>
    </xf>
    <xf numFmtId="20" fontId="29" fillId="0" borderId="56" xfId="0" applyNumberFormat="1" applyFont="1" applyBorder="1" applyAlignment="1">
      <alignment horizontal="center" wrapText="1"/>
    </xf>
    <xf numFmtId="20" fontId="29" fillId="0" borderId="57" xfId="0" applyNumberFormat="1" applyFont="1" applyBorder="1" applyAlignment="1">
      <alignment horizontal="center" wrapText="1"/>
    </xf>
    <xf numFmtId="1" fontId="18" fillId="7" borderId="4" xfId="0" applyNumberFormat="1" applyFont="1" applyFill="1" applyBorder="1" applyAlignment="1">
      <alignment horizontal="center" wrapText="1"/>
    </xf>
    <xf numFmtId="1" fontId="18" fillId="7" borderId="5" xfId="0" applyNumberFormat="1" applyFont="1" applyFill="1" applyBorder="1" applyAlignment="1">
      <alignment horizontal="center" wrapText="1"/>
    </xf>
    <xf numFmtId="9" fontId="28" fillId="20" borderId="20" xfId="0" applyNumberFormat="1" applyFont="1" applyFill="1" applyBorder="1" applyAlignment="1">
      <alignment horizontal="center" vertical="center" wrapText="1"/>
    </xf>
    <xf numFmtId="9" fontId="28" fillId="20" borderId="55" xfId="0" applyNumberFormat="1" applyFont="1" applyFill="1" applyBorder="1" applyAlignment="1">
      <alignment horizontal="center" vertical="center" wrapText="1"/>
    </xf>
    <xf numFmtId="0" fontId="18" fillId="0" borderId="44" xfId="0" applyFont="1" applyBorder="1" applyAlignment="1">
      <alignment horizontal="center" wrapText="1"/>
    </xf>
    <xf numFmtId="0" fontId="18" fillId="0" borderId="45" xfId="0" applyFont="1" applyBorder="1" applyAlignment="1">
      <alignment horizontal="center" wrapText="1"/>
    </xf>
    <xf numFmtId="0" fontId="18" fillId="7" borderId="4" xfId="0" applyFont="1" applyFill="1" applyBorder="1" applyAlignment="1">
      <alignment horizontal="center" wrapText="1"/>
    </xf>
    <xf numFmtId="0" fontId="18" fillId="7" borderId="46" xfId="0" applyFont="1" applyFill="1" applyBorder="1" applyAlignment="1">
      <alignment horizontal="center" wrapText="1"/>
    </xf>
    <xf numFmtId="0" fontId="18" fillId="7" borderId="47" xfId="0" applyFont="1" applyFill="1" applyBorder="1" applyAlignment="1">
      <alignment horizontal="center" wrapText="1"/>
    </xf>
    <xf numFmtId="0" fontId="18" fillId="7" borderId="48" xfId="0" applyFont="1" applyFill="1" applyBorder="1" applyAlignment="1">
      <alignment horizontal="center" wrapText="1"/>
    </xf>
    <xf numFmtId="0" fontId="27" fillId="0" borderId="15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0" fillId="14" borderId="0" xfId="0" applyFill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8" fillId="14" borderId="1" xfId="0" applyFont="1" applyFill="1" applyBorder="1" applyAlignment="1">
      <alignment horizontal="center"/>
    </xf>
    <xf numFmtId="0" fontId="18" fillId="14" borderId="2" xfId="0" applyFont="1" applyFill="1" applyBorder="1" applyAlignment="1">
      <alignment horizontal="center"/>
    </xf>
    <xf numFmtId="14" fontId="0" fillId="0" borderId="23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1" fontId="7" fillId="0" borderId="26" xfId="0" applyNumberFormat="1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3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66FF33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114300</xdr:rowOff>
    </xdr:from>
    <xdr:to>
      <xdr:col>6</xdr:col>
      <xdr:colOff>314325</xdr:colOff>
      <xdr:row>5</xdr:row>
      <xdr:rowOff>38100</xdr:rowOff>
    </xdr:to>
    <xdr:sp macro="[0]!Module1.HideWB" textlink="">
      <xdr:nvSpPr>
        <xdr:cNvPr id="2" name="Rectangle 1">
          <a:extLst>
            <a:ext uri="{FF2B5EF4-FFF2-40B4-BE49-F238E27FC236}">
              <a16:creationId xmlns:a16="http://schemas.microsoft.com/office/drawing/2014/main" id="{2A1E81D4-B130-42E3-A980-F81B4262BE58}"/>
            </a:ext>
          </a:extLst>
        </xdr:cNvPr>
        <xdr:cNvSpPr/>
      </xdr:nvSpPr>
      <xdr:spPr>
        <a:xfrm>
          <a:off x="133350" y="304800"/>
          <a:ext cx="3838575" cy="6858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Add</a:t>
          </a:r>
          <a:r>
            <a:rPr lang="en-US" sz="3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Inventory Details</a:t>
          </a:r>
          <a:endParaRPr lang="en-US" sz="3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114300</xdr:colOff>
      <xdr:row>8</xdr:row>
      <xdr:rowOff>66675</xdr:rowOff>
    </xdr:from>
    <xdr:to>
      <xdr:col>7</xdr:col>
      <xdr:colOff>4763</xdr:colOff>
      <xdr:row>11</xdr:row>
      <xdr:rowOff>171450</xdr:rowOff>
    </xdr:to>
    <xdr:sp macro="[0]!UpdateCountWB" textlink="">
      <xdr:nvSpPr>
        <xdr:cNvPr id="3" name="Rectangle 2">
          <a:extLst>
            <a:ext uri="{FF2B5EF4-FFF2-40B4-BE49-F238E27FC236}">
              <a16:creationId xmlns:a16="http://schemas.microsoft.com/office/drawing/2014/main" id="{C7D4B416-FC0E-4D1B-96A9-47F9D488D7E7}"/>
            </a:ext>
          </a:extLst>
        </xdr:cNvPr>
        <xdr:cNvSpPr/>
      </xdr:nvSpPr>
      <xdr:spPr>
        <a:xfrm>
          <a:off x="114300" y="1514475"/>
          <a:ext cx="4424363" cy="6477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Add</a:t>
          </a:r>
          <a:r>
            <a:rPr lang="en-US" sz="3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County Hosp Details</a:t>
          </a:r>
          <a:endParaRPr lang="en-US" sz="3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61912</xdr:rowOff>
    </xdr:from>
    <xdr:to>
      <xdr:col>3</xdr:col>
      <xdr:colOff>309562</xdr:colOff>
      <xdr:row>19</xdr:row>
      <xdr:rowOff>109537</xdr:rowOff>
    </xdr:to>
    <xdr:sp macro="[0]!UpdateWB" textlink="">
      <xdr:nvSpPr>
        <xdr:cNvPr id="2" name="Rectangle 1">
          <a:extLst>
            <a:ext uri="{FF2B5EF4-FFF2-40B4-BE49-F238E27FC236}">
              <a16:creationId xmlns:a16="http://schemas.microsoft.com/office/drawing/2014/main" id="{B18CEADB-1A66-4E17-8893-A2F2C519BDA9}"/>
            </a:ext>
          </a:extLst>
        </xdr:cNvPr>
        <xdr:cNvSpPr/>
      </xdr:nvSpPr>
      <xdr:spPr>
        <a:xfrm>
          <a:off x="0" y="2967037"/>
          <a:ext cx="2486025" cy="5905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Add</a:t>
          </a:r>
          <a:r>
            <a:rPr lang="en-US" sz="3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Hospital Details</a:t>
          </a:r>
          <a:endParaRPr lang="en-US" sz="3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52388</xdr:colOff>
      <xdr:row>17</xdr:row>
      <xdr:rowOff>176212</xdr:rowOff>
    </xdr:from>
    <xdr:to>
      <xdr:col>16</xdr:col>
      <xdr:colOff>195262</xdr:colOff>
      <xdr:row>21</xdr:row>
      <xdr:rowOff>90486</xdr:rowOff>
    </xdr:to>
    <xdr:sp macro="[0]!GenerateReport" textlink="">
      <xdr:nvSpPr>
        <xdr:cNvPr id="4" name="Rectangle 3">
          <a:extLst>
            <a:ext uri="{FF2B5EF4-FFF2-40B4-BE49-F238E27FC236}">
              <a16:creationId xmlns:a16="http://schemas.microsoft.com/office/drawing/2014/main" id="{D966CA6B-8F28-403E-9D94-0A7A1B87492F}"/>
            </a:ext>
          </a:extLst>
        </xdr:cNvPr>
        <xdr:cNvSpPr/>
      </xdr:nvSpPr>
      <xdr:spPr>
        <a:xfrm>
          <a:off x="7410451" y="3262312"/>
          <a:ext cx="3381374" cy="642937"/>
        </a:xfrm>
        <a:prstGeom prst="rect">
          <a:avLst/>
        </a:prstGeom>
        <a:ln>
          <a:solidFill>
            <a:schemeClr val="accent2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GENERATE</a:t>
          </a:r>
          <a:r>
            <a:rPr lang="en-US" sz="3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REPORT</a:t>
          </a:r>
          <a:endParaRPr lang="en-US" sz="3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C15A2-B0A0-4FB7-B1F4-A32F08FA55EA}">
  <sheetPr codeName="Sheet3"/>
  <dimension ref="A1:M43"/>
  <sheetViews>
    <sheetView workbookViewId="0">
      <selection activeCell="J45" sqref="J45"/>
    </sheetView>
  </sheetViews>
  <sheetFormatPr defaultRowHeight="14.25" x14ac:dyDescent="0.45"/>
  <cols>
    <col min="1" max="1" width="15.19921875" bestFit="1" customWidth="1"/>
    <col min="2" max="2" width="8.265625" customWidth="1"/>
    <col min="3" max="3" width="9.1328125" customWidth="1"/>
    <col min="4" max="4" width="8.33203125" customWidth="1"/>
    <col min="5" max="5" width="8.265625" customWidth="1"/>
    <col min="6" max="6" width="8.1328125" customWidth="1"/>
    <col min="7" max="7" width="7.59765625" customWidth="1"/>
    <col min="8" max="8" width="8.9296875" bestFit="1" customWidth="1"/>
    <col min="9" max="9" width="8.9296875" customWidth="1"/>
    <col min="10" max="10" width="7.86328125" bestFit="1" customWidth="1"/>
    <col min="12" max="12" width="9.19921875" bestFit="1" customWidth="1"/>
    <col min="13" max="13" width="12.1328125" bestFit="1" customWidth="1"/>
  </cols>
  <sheetData>
    <row r="1" spans="1:13" ht="18" x14ac:dyDescent="0.55000000000000004">
      <c r="A1" s="37">
        <f ca="1">TODAY()</f>
        <v>43986</v>
      </c>
      <c r="B1" s="127" t="s">
        <v>53</v>
      </c>
      <c r="C1" s="127"/>
      <c r="D1" s="127"/>
      <c r="E1" s="127"/>
      <c r="F1" s="127"/>
      <c r="G1" s="127"/>
      <c r="H1" s="127"/>
      <c r="I1" s="127"/>
      <c r="J1" s="127"/>
      <c r="L1" s="39"/>
      <c r="M1" s="40"/>
    </row>
    <row r="2" spans="1:13" x14ac:dyDescent="0.45">
      <c r="A2" s="38"/>
      <c r="B2" s="38"/>
      <c r="C2" s="38"/>
      <c r="D2" s="38"/>
      <c r="E2" s="38"/>
      <c r="F2" s="38"/>
      <c r="G2" s="38"/>
      <c r="H2" s="38"/>
      <c r="I2" s="38"/>
      <c r="J2" s="38"/>
    </row>
    <row r="3" spans="1:13" x14ac:dyDescent="0.45">
      <c r="A3" s="128" t="s">
        <v>54</v>
      </c>
      <c r="B3" s="128"/>
      <c r="C3" s="128"/>
      <c r="D3" s="128"/>
      <c r="E3" s="128"/>
      <c r="F3" s="128"/>
      <c r="G3" s="128"/>
      <c r="H3" s="128"/>
      <c r="I3" s="128"/>
      <c r="J3" s="128"/>
    </row>
    <row r="4" spans="1:13" x14ac:dyDescent="0.45">
      <c r="A4" s="41"/>
      <c r="B4" s="42" t="s">
        <v>55</v>
      </c>
      <c r="C4" s="42" t="s">
        <v>56</v>
      </c>
      <c r="D4" s="42" t="s">
        <v>57</v>
      </c>
      <c r="E4" s="42" t="s">
        <v>58</v>
      </c>
      <c r="F4" s="42" t="s">
        <v>59</v>
      </c>
      <c r="G4" s="42" t="s">
        <v>60</v>
      </c>
      <c r="H4" s="42" t="s">
        <v>61</v>
      </c>
      <c r="I4" s="42" t="s">
        <v>62</v>
      </c>
      <c r="J4" s="43" t="s">
        <v>17</v>
      </c>
    </row>
    <row r="5" spans="1:13" x14ac:dyDescent="0.45">
      <c r="A5" s="44" t="s">
        <v>63</v>
      </c>
      <c r="B5" s="45"/>
      <c r="C5" s="45"/>
      <c r="D5" s="45"/>
      <c r="E5" s="45"/>
      <c r="F5" s="45"/>
      <c r="G5" s="45"/>
      <c r="H5" s="45"/>
      <c r="I5" s="45"/>
      <c r="J5" s="46"/>
    </row>
    <row r="6" spans="1:13" x14ac:dyDescent="0.45">
      <c r="A6" s="44" t="s">
        <v>64</v>
      </c>
      <c r="B6" s="46"/>
      <c r="C6" s="46"/>
      <c r="D6" s="46"/>
      <c r="E6" s="46"/>
      <c r="F6" s="46"/>
      <c r="G6" s="46"/>
      <c r="H6" s="46"/>
      <c r="I6" s="46"/>
      <c r="J6" s="46"/>
    </row>
    <row r="7" spans="1:13" x14ac:dyDescent="0.45">
      <c r="A7" s="44" t="s">
        <v>65</v>
      </c>
      <c r="B7" s="47"/>
      <c r="C7" s="47"/>
      <c r="D7" s="47"/>
      <c r="E7" s="47"/>
      <c r="F7" s="47"/>
      <c r="G7" s="47"/>
      <c r="H7" s="47"/>
      <c r="I7" s="47"/>
      <c r="J7" s="48"/>
    </row>
    <row r="8" spans="1:13" x14ac:dyDescent="0.45">
      <c r="A8" s="44" t="s">
        <v>66</v>
      </c>
      <c r="B8" s="46"/>
      <c r="C8" s="46"/>
      <c r="D8" s="46"/>
      <c r="E8" s="46"/>
      <c r="F8" s="46"/>
      <c r="G8" s="46"/>
      <c r="H8" s="46"/>
      <c r="I8" s="46"/>
      <c r="J8" s="48"/>
    </row>
    <row r="9" spans="1:13" x14ac:dyDescent="0.45">
      <c r="A9" s="44" t="s">
        <v>67</v>
      </c>
      <c r="B9" s="46"/>
      <c r="C9" s="46"/>
      <c r="D9" s="46"/>
      <c r="E9" s="46"/>
      <c r="F9" s="46"/>
      <c r="G9" s="46"/>
      <c r="H9" s="46"/>
      <c r="I9" s="46"/>
      <c r="J9" s="48"/>
    </row>
    <row r="10" spans="1:13" x14ac:dyDescent="0.45">
      <c r="A10" s="49"/>
      <c r="B10" s="49"/>
      <c r="C10" s="49"/>
      <c r="D10" s="49"/>
      <c r="E10" s="49"/>
      <c r="F10" s="49"/>
      <c r="G10" s="49"/>
      <c r="H10" s="49"/>
      <c r="I10" s="49"/>
      <c r="J10" s="50" t="s">
        <v>26</v>
      </c>
    </row>
    <row r="11" spans="1:13" x14ac:dyDescent="0.45">
      <c r="A11" s="129" t="s">
        <v>68</v>
      </c>
      <c r="B11" s="129"/>
      <c r="C11" s="129"/>
      <c r="D11" s="129"/>
      <c r="E11" s="129"/>
      <c r="F11" s="129"/>
      <c r="G11" s="129"/>
      <c r="H11" s="129"/>
      <c r="I11" s="129"/>
      <c r="J11" s="129"/>
    </row>
    <row r="12" spans="1:13" x14ac:dyDescent="0.45">
      <c r="A12" s="51"/>
      <c r="B12" s="42" t="s">
        <v>55</v>
      </c>
      <c r="C12" s="42" t="s">
        <v>56</v>
      </c>
      <c r="D12" s="42" t="s">
        <v>57</v>
      </c>
      <c r="E12" s="42" t="s">
        <v>58</v>
      </c>
      <c r="F12" s="42" t="s">
        <v>59</v>
      </c>
      <c r="G12" s="42" t="s">
        <v>60</v>
      </c>
      <c r="H12" s="42" t="s">
        <v>61</v>
      </c>
      <c r="I12" s="42" t="s">
        <v>62</v>
      </c>
      <c r="J12" s="52" t="s">
        <v>17</v>
      </c>
    </row>
    <row r="13" spans="1:13" x14ac:dyDescent="0.45">
      <c r="A13" s="44" t="s">
        <v>69</v>
      </c>
      <c r="B13" s="46"/>
      <c r="C13" s="46"/>
      <c r="D13" s="46"/>
      <c r="E13" s="46"/>
      <c r="F13" s="46"/>
      <c r="G13" s="46"/>
      <c r="H13" s="46"/>
      <c r="I13" s="46"/>
      <c r="J13" s="53"/>
    </row>
    <row r="14" spans="1:13" x14ac:dyDescent="0.45">
      <c r="A14" s="54"/>
      <c r="B14" s="55"/>
      <c r="C14" s="55"/>
      <c r="D14" s="55"/>
      <c r="E14" s="55"/>
      <c r="F14" s="55"/>
      <c r="G14" s="55"/>
      <c r="H14" s="55"/>
      <c r="I14" s="55"/>
      <c r="J14" s="56" t="s">
        <v>26</v>
      </c>
    </row>
    <row r="15" spans="1:13" x14ac:dyDescent="0.45">
      <c r="A15" s="129" t="s">
        <v>70</v>
      </c>
      <c r="B15" s="129"/>
      <c r="C15" s="129"/>
      <c r="D15" s="129"/>
      <c r="E15" s="129"/>
      <c r="F15" s="129"/>
      <c r="G15" s="129"/>
      <c r="H15" s="129"/>
      <c r="I15" s="129"/>
      <c r="J15" s="129"/>
    </row>
    <row r="16" spans="1:13" x14ac:dyDescent="0.45">
      <c r="A16" s="57"/>
      <c r="B16" s="58" t="s">
        <v>55</v>
      </c>
      <c r="C16" s="58" t="s">
        <v>56</v>
      </c>
      <c r="D16" s="58" t="s">
        <v>57</v>
      </c>
      <c r="E16" s="58" t="s">
        <v>58</v>
      </c>
      <c r="F16" s="58" t="s">
        <v>59</v>
      </c>
      <c r="G16" s="58" t="s">
        <v>60</v>
      </c>
      <c r="H16" s="58" t="s">
        <v>61</v>
      </c>
      <c r="I16" s="58" t="s">
        <v>62</v>
      </c>
      <c r="J16" s="58" t="s">
        <v>17</v>
      </c>
    </row>
    <row r="17" spans="1:10" x14ac:dyDescent="0.45">
      <c r="A17" s="44" t="str">
        <f ca="1">IF(WEEKDAY(TODAY())=2,"FRIDAY","YESTERDAY")</f>
        <v>YESTERDAY</v>
      </c>
      <c r="B17" s="59"/>
      <c r="C17" s="59"/>
      <c r="D17" s="59"/>
      <c r="E17" s="59"/>
      <c r="F17" s="59"/>
      <c r="G17" s="59"/>
      <c r="H17" s="59"/>
      <c r="I17" s="59"/>
      <c r="J17" s="60"/>
    </row>
    <row r="18" spans="1:10" x14ac:dyDescent="0.45">
      <c r="A18" s="49"/>
      <c r="B18" s="61" t="s">
        <v>26</v>
      </c>
      <c r="C18" s="61"/>
      <c r="D18" s="61"/>
      <c r="E18" s="61"/>
      <c r="F18" s="61"/>
      <c r="G18" s="61"/>
      <c r="H18" s="61"/>
      <c r="I18" s="61"/>
      <c r="J18" s="62"/>
    </row>
    <row r="19" spans="1:10" x14ac:dyDescent="0.45">
      <c r="A19" s="129" t="s">
        <v>71</v>
      </c>
      <c r="B19" s="129"/>
      <c r="C19" s="129"/>
      <c r="D19" s="129"/>
      <c r="E19" s="129"/>
      <c r="F19" s="129"/>
      <c r="G19" s="129"/>
      <c r="H19" s="129"/>
      <c r="I19" s="129"/>
      <c r="J19" s="129"/>
    </row>
    <row r="20" spans="1:10" x14ac:dyDescent="0.45">
      <c r="A20" s="51"/>
      <c r="B20" s="42" t="s">
        <v>55</v>
      </c>
      <c r="C20" s="42" t="s">
        <v>56</v>
      </c>
      <c r="D20" s="42" t="s">
        <v>57</v>
      </c>
      <c r="E20" s="42" t="s">
        <v>58</v>
      </c>
      <c r="F20" s="42" t="s">
        <v>59</v>
      </c>
      <c r="G20" s="42" t="s">
        <v>60</v>
      </c>
      <c r="H20" s="42" t="s">
        <v>61</v>
      </c>
      <c r="I20" s="42" t="s">
        <v>62</v>
      </c>
      <c r="J20" s="52" t="s">
        <v>17</v>
      </c>
    </row>
    <row r="21" spans="1:10" x14ac:dyDescent="0.45">
      <c r="A21" s="44" t="s">
        <v>83</v>
      </c>
      <c r="B21" s="63"/>
      <c r="C21" s="63"/>
      <c r="D21" s="63"/>
      <c r="E21" s="63"/>
      <c r="F21" s="63"/>
      <c r="G21" s="63"/>
      <c r="H21" s="63"/>
      <c r="I21" s="63"/>
      <c r="J21" s="64"/>
    </row>
    <row r="22" spans="1:10" x14ac:dyDescent="0.45">
      <c r="A22" s="44" t="s">
        <v>84</v>
      </c>
      <c r="B22" s="46"/>
      <c r="C22" s="46"/>
      <c r="D22" s="46"/>
      <c r="E22" s="46"/>
      <c r="F22" s="46"/>
      <c r="G22" s="46"/>
      <c r="H22" s="46"/>
      <c r="I22" s="46"/>
      <c r="J22" s="64"/>
    </row>
    <row r="23" spans="1:10" x14ac:dyDescent="0.45">
      <c r="A23" s="44" t="s">
        <v>17</v>
      </c>
      <c r="B23" s="46"/>
      <c r="C23" s="46"/>
      <c r="D23" s="46"/>
      <c r="E23" s="46"/>
      <c r="F23" s="46"/>
      <c r="G23" s="46"/>
      <c r="H23" s="46"/>
      <c r="I23" s="46"/>
      <c r="J23" s="48"/>
    </row>
    <row r="24" spans="1:10" x14ac:dyDescent="0.45">
      <c r="A24" s="44" t="s">
        <v>66</v>
      </c>
      <c r="B24" s="46"/>
      <c r="C24" s="46"/>
      <c r="D24" s="46"/>
      <c r="E24" s="46"/>
      <c r="F24" s="46"/>
      <c r="G24" s="46"/>
      <c r="H24" s="46"/>
      <c r="I24" s="46"/>
      <c r="J24" s="64"/>
    </row>
    <row r="25" spans="1:10" x14ac:dyDescent="0.45">
      <c r="A25" s="44" t="s">
        <v>67</v>
      </c>
      <c r="B25" s="46"/>
      <c r="C25" s="46"/>
      <c r="D25" s="46"/>
      <c r="E25" s="46"/>
      <c r="F25" s="46"/>
      <c r="G25" s="46"/>
      <c r="H25" s="46"/>
      <c r="I25" s="46"/>
      <c r="J25" s="48"/>
    </row>
    <row r="26" spans="1:10" x14ac:dyDescent="0.45">
      <c r="A26" s="49"/>
      <c r="B26" s="61"/>
      <c r="C26" s="61"/>
      <c r="D26" s="61"/>
      <c r="E26" s="61"/>
      <c r="F26" s="61"/>
      <c r="G26" s="61"/>
      <c r="H26" s="61"/>
      <c r="I26" s="61"/>
      <c r="J26" s="65"/>
    </row>
    <row r="27" spans="1:10" x14ac:dyDescent="0.45">
      <c r="A27" s="126" t="s">
        <v>72</v>
      </c>
      <c r="B27" s="126"/>
      <c r="C27" s="126"/>
      <c r="D27" s="126"/>
      <c r="E27" s="126"/>
      <c r="F27" s="126"/>
      <c r="G27" s="126"/>
      <c r="H27" s="126"/>
      <c r="I27" s="126"/>
      <c r="J27" s="126"/>
    </row>
    <row r="28" spans="1:10" x14ac:dyDescent="0.45">
      <c r="A28" s="66"/>
      <c r="B28" s="42" t="s">
        <v>55</v>
      </c>
      <c r="C28" s="42" t="s">
        <v>56</v>
      </c>
      <c r="D28" s="42" t="s">
        <v>57</v>
      </c>
      <c r="E28" s="42" t="s">
        <v>58</v>
      </c>
      <c r="F28" s="42" t="s">
        <v>59</v>
      </c>
      <c r="G28" s="42" t="s">
        <v>60</v>
      </c>
      <c r="H28" s="42" t="s">
        <v>61</v>
      </c>
      <c r="I28" s="42" t="s">
        <v>62</v>
      </c>
      <c r="J28" s="52" t="s">
        <v>17</v>
      </c>
    </row>
    <row r="29" spans="1:10" x14ac:dyDescent="0.45">
      <c r="A29" s="44" t="s">
        <v>17</v>
      </c>
      <c r="B29" s="46">
        <f t="shared" ref="B29:I29" si="0">SUM(B5+B13+B23)</f>
        <v>0</v>
      </c>
      <c r="C29" s="46">
        <f t="shared" si="0"/>
        <v>0</v>
      </c>
      <c r="D29" s="46">
        <f t="shared" si="0"/>
        <v>0</v>
      </c>
      <c r="E29" s="46">
        <f t="shared" si="0"/>
        <v>0</v>
      </c>
      <c r="F29" s="46">
        <f t="shared" si="0"/>
        <v>0</v>
      </c>
      <c r="G29" s="46">
        <f t="shared" si="0"/>
        <v>0</v>
      </c>
      <c r="H29" s="46">
        <f t="shared" si="0"/>
        <v>0</v>
      </c>
      <c r="I29" s="46">
        <f t="shared" si="0"/>
        <v>0</v>
      </c>
      <c r="J29" s="46">
        <f>SUM(B29:I29)</f>
        <v>0</v>
      </c>
    </row>
    <row r="30" spans="1:10" x14ac:dyDescent="0.45">
      <c r="A30" s="44" t="s">
        <v>66</v>
      </c>
      <c r="B30" s="46">
        <f t="shared" ref="B30:I30" si="1">SUM(B8,B24)</f>
        <v>0</v>
      </c>
      <c r="C30" s="46">
        <f t="shared" si="1"/>
        <v>0</v>
      </c>
      <c r="D30" s="46">
        <f t="shared" si="1"/>
        <v>0</v>
      </c>
      <c r="E30" s="46">
        <f t="shared" si="1"/>
        <v>0</v>
      </c>
      <c r="F30" s="46">
        <f t="shared" si="1"/>
        <v>0</v>
      </c>
      <c r="G30" s="46">
        <f t="shared" si="1"/>
        <v>0</v>
      </c>
      <c r="H30" s="46">
        <f t="shared" si="1"/>
        <v>0</v>
      </c>
      <c r="I30" s="46">
        <f t="shared" si="1"/>
        <v>0</v>
      </c>
      <c r="J30" s="64">
        <f>SUM(B30:I30)</f>
        <v>0</v>
      </c>
    </row>
    <row r="31" spans="1:10" x14ac:dyDescent="0.45">
      <c r="A31" s="44" t="s">
        <v>73</v>
      </c>
      <c r="B31" s="46" t="str">
        <f t="shared" ref="B31:J31" si="2">IF((B29&gt;B30),(B29-B30)," ")</f>
        <v xml:space="preserve"> </v>
      </c>
      <c r="C31" s="46" t="str">
        <f t="shared" si="2"/>
        <v xml:space="preserve"> </v>
      </c>
      <c r="D31" s="46" t="str">
        <f t="shared" si="2"/>
        <v xml:space="preserve"> </v>
      </c>
      <c r="E31" s="46" t="str">
        <f t="shared" si="2"/>
        <v xml:space="preserve"> </v>
      </c>
      <c r="F31" s="46" t="str">
        <f t="shared" si="2"/>
        <v xml:space="preserve"> </v>
      </c>
      <c r="G31" s="46" t="str">
        <f t="shared" si="2"/>
        <v xml:space="preserve"> </v>
      </c>
      <c r="H31" s="46" t="str">
        <f t="shared" si="2"/>
        <v xml:space="preserve"> </v>
      </c>
      <c r="I31" s="46" t="str">
        <f t="shared" si="2"/>
        <v xml:space="preserve"> </v>
      </c>
      <c r="J31" s="48" t="str">
        <f t="shared" si="2"/>
        <v xml:space="preserve"> </v>
      </c>
    </row>
    <row r="32" spans="1:10" x14ac:dyDescent="0.45">
      <c r="A32" s="44" t="s">
        <v>74</v>
      </c>
      <c r="B32" s="46">
        <f t="shared" ref="B32:I32" si="3">IF((B29&gt;B30)," ",((B29-B30)*-1))</f>
        <v>0</v>
      </c>
      <c r="C32" s="46">
        <f t="shared" si="3"/>
        <v>0</v>
      </c>
      <c r="D32" s="46">
        <f t="shared" si="3"/>
        <v>0</v>
      </c>
      <c r="E32" s="46">
        <f t="shared" si="3"/>
        <v>0</v>
      </c>
      <c r="F32" s="46">
        <f t="shared" si="3"/>
        <v>0</v>
      </c>
      <c r="G32" s="46">
        <f t="shared" si="3"/>
        <v>0</v>
      </c>
      <c r="H32" s="46">
        <f t="shared" si="3"/>
        <v>0</v>
      </c>
      <c r="I32" s="46">
        <f t="shared" si="3"/>
        <v>0</v>
      </c>
      <c r="J32" s="48">
        <f>IF((J29&gt;J30)," ",((J29-J30)*-1))</f>
        <v>0</v>
      </c>
    </row>
    <row r="33" spans="1:10" x14ac:dyDescent="0.45">
      <c r="A33" s="67" t="s">
        <v>75</v>
      </c>
      <c r="B33" s="68" t="e">
        <f t="shared" ref="B33:J33" si="4">SUM(B29/B30)</f>
        <v>#DIV/0!</v>
      </c>
      <c r="C33" s="68" t="e">
        <f t="shared" si="4"/>
        <v>#DIV/0!</v>
      </c>
      <c r="D33" s="68" t="e">
        <f t="shared" si="4"/>
        <v>#DIV/0!</v>
      </c>
      <c r="E33" s="68" t="e">
        <f t="shared" si="4"/>
        <v>#DIV/0!</v>
      </c>
      <c r="F33" s="68" t="e">
        <f t="shared" si="4"/>
        <v>#DIV/0!</v>
      </c>
      <c r="G33" s="68" t="e">
        <f t="shared" si="4"/>
        <v>#DIV/0!</v>
      </c>
      <c r="H33" s="68" t="e">
        <f t="shared" si="4"/>
        <v>#DIV/0!</v>
      </c>
      <c r="I33" s="68" t="e">
        <f t="shared" si="4"/>
        <v>#DIV/0!</v>
      </c>
      <c r="J33" s="68" t="e">
        <f t="shared" si="4"/>
        <v>#DIV/0!</v>
      </c>
    </row>
    <row r="34" spans="1:10" x14ac:dyDescent="0.45">
      <c r="A34" s="49"/>
      <c r="B34" s="61"/>
      <c r="C34" s="61"/>
      <c r="D34" s="61"/>
      <c r="E34" s="61"/>
      <c r="F34" s="61"/>
      <c r="G34" s="61"/>
      <c r="H34" s="61"/>
      <c r="I34" s="61"/>
      <c r="J34" s="69"/>
    </row>
    <row r="35" spans="1:10" x14ac:dyDescent="0.45">
      <c r="A35" s="126" t="s">
        <v>76</v>
      </c>
      <c r="B35" s="126"/>
      <c r="C35" s="126"/>
      <c r="D35" s="126"/>
      <c r="E35" s="126"/>
      <c r="F35" s="126"/>
      <c r="G35" s="126"/>
      <c r="H35" s="126"/>
      <c r="I35" s="126"/>
      <c r="J35" s="126"/>
    </row>
    <row r="36" spans="1:10" x14ac:dyDescent="0.45">
      <c r="A36" s="41"/>
      <c r="B36" s="42" t="s">
        <v>55</v>
      </c>
      <c r="C36" s="42" t="s">
        <v>56</v>
      </c>
      <c r="D36" s="42" t="s">
        <v>57</v>
      </c>
      <c r="E36" s="42" t="s">
        <v>58</v>
      </c>
      <c r="F36" s="42" t="s">
        <v>59</v>
      </c>
      <c r="G36" s="42" t="s">
        <v>60</v>
      </c>
      <c r="H36" s="42" t="s">
        <v>61</v>
      </c>
      <c r="I36" s="42" t="s">
        <v>62</v>
      </c>
      <c r="J36" s="70" t="s">
        <v>17</v>
      </c>
    </row>
    <row r="37" spans="1:10" x14ac:dyDescent="0.45">
      <c r="A37" s="44" t="s">
        <v>77</v>
      </c>
      <c r="B37" s="71" t="s">
        <v>26</v>
      </c>
      <c r="C37" s="71" t="s">
        <v>26</v>
      </c>
      <c r="D37" s="71" t="s">
        <v>26</v>
      </c>
      <c r="E37" s="71" t="s">
        <v>26</v>
      </c>
      <c r="F37" s="71" t="s">
        <v>26</v>
      </c>
      <c r="G37" s="71" t="s">
        <v>26</v>
      </c>
      <c r="H37" s="71" t="s">
        <v>26</v>
      </c>
      <c r="I37" s="71" t="s">
        <v>26</v>
      </c>
      <c r="J37" s="48">
        <f t="shared" ref="J37:J38" si="5">SUM(B37:I37)</f>
        <v>0</v>
      </c>
    </row>
    <row r="38" spans="1:10" x14ac:dyDescent="0.45">
      <c r="A38" s="72"/>
      <c r="B38" s="42" t="s">
        <v>55</v>
      </c>
      <c r="C38" s="42" t="s">
        <v>56</v>
      </c>
      <c r="D38" s="42" t="s">
        <v>57</v>
      </c>
      <c r="E38" s="42" t="s">
        <v>58</v>
      </c>
      <c r="F38" s="42" t="s">
        <v>59</v>
      </c>
      <c r="G38" s="42" t="s">
        <v>60</v>
      </c>
      <c r="H38" s="42" t="s">
        <v>61</v>
      </c>
      <c r="I38" s="42" t="s">
        <v>62</v>
      </c>
      <c r="J38" s="48">
        <f t="shared" si="5"/>
        <v>0</v>
      </c>
    </row>
    <row r="39" spans="1:10" x14ac:dyDescent="0.45">
      <c r="A39" s="73" t="s">
        <v>78</v>
      </c>
      <c r="B39" s="45"/>
      <c r="C39" s="45"/>
      <c r="D39" s="45"/>
      <c r="E39" s="45"/>
      <c r="F39" s="45"/>
      <c r="G39" s="45"/>
      <c r="H39" s="45"/>
      <c r="I39" s="45"/>
      <c r="J39" s="74"/>
    </row>
    <row r="40" spans="1:10" x14ac:dyDescent="0.45">
      <c r="A40" s="73" t="s">
        <v>79</v>
      </c>
      <c r="B40" s="45"/>
      <c r="C40" s="45"/>
      <c r="D40" s="45"/>
      <c r="E40" s="45"/>
      <c r="F40" s="45"/>
      <c r="G40" s="45"/>
      <c r="H40" s="45"/>
      <c r="I40" s="45"/>
      <c r="J40" s="74"/>
    </row>
    <row r="41" spans="1:10" x14ac:dyDescent="0.45">
      <c r="A41" s="73" t="s">
        <v>80</v>
      </c>
      <c r="B41" s="45"/>
      <c r="C41" s="45"/>
      <c r="D41" s="45"/>
      <c r="E41" s="45"/>
      <c r="F41" s="45"/>
      <c r="G41" s="45"/>
      <c r="H41" s="45"/>
      <c r="I41" s="45"/>
      <c r="J41" s="74"/>
    </row>
    <row r="42" spans="1:10" x14ac:dyDescent="0.45">
      <c r="A42" s="73" t="s">
        <v>81</v>
      </c>
      <c r="B42" s="75"/>
      <c r="C42" s="76"/>
      <c r="D42" s="75"/>
      <c r="E42" s="76"/>
      <c r="F42" s="75"/>
      <c r="G42" s="76"/>
      <c r="H42" s="76"/>
      <c r="I42" s="76"/>
      <c r="J42" s="77"/>
    </row>
    <row r="43" spans="1:10" x14ac:dyDescent="0.45">
      <c r="A43" s="73" t="s">
        <v>82</v>
      </c>
      <c r="B43" s="78"/>
      <c r="C43" s="78"/>
      <c r="D43" s="79"/>
      <c r="E43" s="79"/>
      <c r="F43" s="79"/>
      <c r="G43" s="79"/>
      <c r="H43" s="79"/>
      <c r="I43" s="79"/>
      <c r="J43" s="74"/>
    </row>
  </sheetData>
  <mergeCells count="7">
    <mergeCell ref="A35:J35"/>
    <mergeCell ref="B1:J1"/>
    <mergeCell ref="A3:J3"/>
    <mergeCell ref="A11:J11"/>
    <mergeCell ref="A15:J15"/>
    <mergeCell ref="A19:J19"/>
    <mergeCell ref="A27:J27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3BC6-4B19-46DB-B805-77D2F123D9B5}">
  <sheetPr codeName="Sheet1"/>
  <dimension ref="B3:M42"/>
  <sheetViews>
    <sheetView workbookViewId="0">
      <selection activeCell="J8" sqref="J8"/>
    </sheetView>
  </sheetViews>
  <sheetFormatPr defaultRowHeight="14.25" x14ac:dyDescent="0.45"/>
  <sheetData>
    <row r="3" spans="2:13" x14ac:dyDescent="0.45">
      <c r="I3" s="35"/>
      <c r="J3" s="35"/>
      <c r="K3" s="35"/>
      <c r="L3" s="35"/>
      <c r="M3" s="35"/>
    </row>
    <row r="4" spans="2:13" x14ac:dyDescent="0.45"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  <c r="I4" s="35"/>
      <c r="J4" s="35"/>
      <c r="K4" s="35"/>
      <c r="L4" s="35"/>
      <c r="M4" s="35"/>
    </row>
    <row r="5" spans="2:13" x14ac:dyDescent="0.45">
      <c r="B5">
        <v>880</v>
      </c>
      <c r="C5">
        <v>267</v>
      </c>
      <c r="D5">
        <v>128</v>
      </c>
      <c r="E5">
        <v>40</v>
      </c>
      <c r="F5">
        <v>202</v>
      </c>
      <c r="I5" s="35"/>
      <c r="J5" s="35"/>
      <c r="K5" s="35"/>
      <c r="L5" s="35"/>
      <c r="M5" s="35"/>
    </row>
    <row r="38" spans="2:9" x14ac:dyDescent="0.45">
      <c r="B38" t="s">
        <v>55</v>
      </c>
      <c r="C38" t="s">
        <v>56</v>
      </c>
      <c r="D38" t="s">
        <v>57</v>
      </c>
      <c r="E38" t="s">
        <v>58</v>
      </c>
      <c r="F38" t="s">
        <v>59</v>
      </c>
      <c r="G38" t="s">
        <v>60</v>
      </c>
      <c r="H38" t="s">
        <v>61</v>
      </c>
      <c r="I38" t="s">
        <v>62</v>
      </c>
    </row>
    <row r="39" spans="2:9" x14ac:dyDescent="0.45">
      <c r="B39">
        <v>383</v>
      </c>
      <c r="C39">
        <v>70</v>
      </c>
      <c r="D39">
        <v>28</v>
      </c>
      <c r="E39">
        <v>8</v>
      </c>
      <c r="F39">
        <v>41</v>
      </c>
      <c r="G39">
        <v>10</v>
      </c>
      <c r="H39">
        <v>622</v>
      </c>
      <c r="I39">
        <v>140</v>
      </c>
    </row>
    <row r="40" spans="2:9" x14ac:dyDescent="0.45">
      <c r="B40">
        <v>74</v>
      </c>
      <c r="C40">
        <v>10</v>
      </c>
      <c r="D40">
        <v>9</v>
      </c>
      <c r="E40">
        <v>2</v>
      </c>
      <c r="F40">
        <v>78</v>
      </c>
      <c r="G40">
        <v>14</v>
      </c>
      <c r="H40">
        <v>22</v>
      </c>
      <c r="I40">
        <v>3</v>
      </c>
    </row>
    <row r="41" spans="2:9" x14ac:dyDescent="0.45">
      <c r="B41">
        <v>13</v>
      </c>
      <c r="F41">
        <v>1</v>
      </c>
      <c r="H41">
        <v>11</v>
      </c>
    </row>
    <row r="42" spans="2:9" x14ac:dyDescent="0.45">
      <c r="B42">
        <v>10</v>
      </c>
      <c r="C42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6F8A8-6807-4B44-A21C-A62FCC451D8D}">
  <sheetPr codeName="Sheet2"/>
  <dimension ref="A1:Q42"/>
  <sheetViews>
    <sheetView tabSelected="1" workbookViewId="0">
      <selection activeCell="I14" sqref="I14"/>
    </sheetView>
  </sheetViews>
  <sheetFormatPr defaultRowHeight="14.25" x14ac:dyDescent="0.45"/>
  <cols>
    <col min="1" max="1" width="12.33203125" bestFit="1" customWidth="1"/>
  </cols>
  <sheetData>
    <row r="1" spans="1:17" x14ac:dyDescent="0.45">
      <c r="A1" s="1"/>
      <c r="B1" s="1"/>
      <c r="C1" s="1"/>
      <c r="D1" s="1"/>
      <c r="E1" s="1"/>
      <c r="F1" s="159" t="s">
        <v>0</v>
      </c>
      <c r="G1" s="160"/>
      <c r="H1" s="160"/>
      <c r="I1" s="160"/>
      <c r="J1" s="160"/>
      <c r="K1" s="160"/>
      <c r="L1" s="160"/>
      <c r="M1" s="1"/>
      <c r="N1" s="1"/>
      <c r="O1" s="1"/>
      <c r="P1" s="1"/>
      <c r="Q1" s="1"/>
    </row>
    <row r="2" spans="1:17" x14ac:dyDescent="0.45">
      <c r="A2" s="1"/>
      <c r="B2" s="1"/>
      <c r="C2" s="1"/>
      <c r="D2" s="1"/>
      <c r="E2" s="1"/>
      <c r="F2" s="161"/>
      <c r="G2" s="162"/>
      <c r="H2" s="162"/>
      <c r="I2" s="162"/>
      <c r="J2" s="162"/>
      <c r="K2" s="162"/>
      <c r="L2" s="162"/>
      <c r="M2" s="1"/>
      <c r="N2" s="1"/>
      <c r="O2" s="1"/>
      <c r="P2" s="1"/>
      <c r="Q2" s="1"/>
    </row>
    <row r="3" spans="1:17" x14ac:dyDescent="0.45">
      <c r="A3" s="2" t="s">
        <v>1</v>
      </c>
      <c r="B3" s="3" t="s">
        <v>2</v>
      </c>
      <c r="C3" s="2" t="s">
        <v>3</v>
      </c>
      <c r="D3" s="3" t="s">
        <v>4</v>
      </c>
      <c r="E3" s="2" t="s">
        <v>5</v>
      </c>
      <c r="F3" s="4" t="s">
        <v>6</v>
      </c>
      <c r="G3" s="5" t="s">
        <v>7</v>
      </c>
      <c r="H3" s="6" t="s">
        <v>8</v>
      </c>
      <c r="I3" s="7" t="s">
        <v>9</v>
      </c>
      <c r="J3" s="6" t="s">
        <v>10</v>
      </c>
      <c r="K3" s="7" t="s">
        <v>11</v>
      </c>
      <c r="L3" s="6" t="s">
        <v>12</v>
      </c>
      <c r="M3" s="2" t="s">
        <v>13</v>
      </c>
      <c r="N3" s="3" t="s">
        <v>14</v>
      </c>
      <c r="O3" s="2" t="s">
        <v>15</v>
      </c>
      <c r="P3" s="3" t="s">
        <v>16</v>
      </c>
      <c r="Q3" s="3" t="s">
        <v>17</v>
      </c>
    </row>
    <row r="4" spans="1:17" x14ac:dyDescent="0.45">
      <c r="A4" s="8"/>
      <c r="B4" s="9"/>
      <c r="C4" s="8"/>
      <c r="D4" s="9"/>
      <c r="E4" s="8"/>
      <c r="F4" s="9"/>
      <c r="G4" s="8"/>
      <c r="H4" s="9"/>
      <c r="I4" s="8"/>
      <c r="J4" s="9"/>
      <c r="K4" s="8"/>
      <c r="L4" s="9"/>
      <c r="M4" s="8"/>
      <c r="N4" s="9"/>
      <c r="O4" s="8"/>
      <c r="P4" s="9"/>
      <c r="Q4" s="10"/>
    </row>
    <row r="5" spans="1:17" x14ac:dyDescent="0.45">
      <c r="A5" s="8"/>
      <c r="B5" s="9"/>
      <c r="C5" s="8"/>
      <c r="D5" s="9"/>
      <c r="E5" s="8"/>
      <c r="F5" s="9"/>
      <c r="G5" s="8"/>
      <c r="H5" s="9"/>
      <c r="I5" s="8"/>
      <c r="J5" s="9"/>
      <c r="K5" s="8"/>
      <c r="L5" s="9"/>
      <c r="M5" s="8"/>
      <c r="N5" s="9"/>
      <c r="O5" s="8"/>
      <c r="P5" s="9"/>
      <c r="Q5" s="11"/>
    </row>
    <row r="6" spans="1:17" x14ac:dyDescent="0.45">
      <c r="A6" s="8"/>
      <c r="B6" s="9"/>
      <c r="C6" s="8"/>
      <c r="D6" s="9"/>
      <c r="E6" s="8"/>
      <c r="F6" s="9"/>
      <c r="G6" s="8"/>
      <c r="H6" s="9"/>
      <c r="I6" s="8"/>
      <c r="J6" s="9"/>
      <c r="K6" s="8"/>
      <c r="L6" s="9"/>
      <c r="M6" s="8"/>
      <c r="N6" s="9"/>
      <c r="O6" s="8"/>
      <c r="P6" s="9"/>
      <c r="Q6" s="11"/>
    </row>
    <row r="7" spans="1:17" x14ac:dyDescent="0.45">
      <c r="A7" s="8"/>
      <c r="B7" s="9"/>
      <c r="C7" s="8"/>
      <c r="D7" s="9"/>
      <c r="E7" s="8"/>
      <c r="F7" s="9"/>
      <c r="G7" s="8"/>
      <c r="H7" s="9"/>
      <c r="I7" s="8"/>
      <c r="J7" s="9"/>
      <c r="K7" s="8"/>
      <c r="L7" s="9"/>
      <c r="M7" s="8"/>
      <c r="N7" s="9"/>
      <c r="O7" s="8"/>
      <c r="P7" s="9"/>
      <c r="Q7" s="11"/>
    </row>
    <row r="8" spans="1:17" x14ac:dyDescent="0.45">
      <c r="A8" s="8"/>
      <c r="B8" s="9"/>
      <c r="C8" s="8"/>
      <c r="D8" s="9"/>
      <c r="E8" s="8"/>
      <c r="F8" s="9"/>
      <c r="G8" s="8"/>
      <c r="H8" s="9"/>
      <c r="I8" s="8"/>
      <c r="J8" s="9"/>
      <c r="K8" s="8"/>
      <c r="L8" s="9"/>
      <c r="M8" s="8"/>
      <c r="N8" s="9"/>
      <c r="O8" s="8"/>
      <c r="P8" s="9"/>
      <c r="Q8" s="11"/>
    </row>
    <row r="9" spans="1:17" x14ac:dyDescent="0.45">
      <c r="A9" s="12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x14ac:dyDescent="0.45">
      <c r="A10" s="14" t="s">
        <v>18</v>
      </c>
      <c r="B10" s="15">
        <f>SUM(A9:B9)</f>
        <v>0</v>
      </c>
      <c r="C10" s="14" t="s">
        <v>19</v>
      </c>
      <c r="D10" s="15">
        <f>SUM(C9:D9)</f>
        <v>0</v>
      </c>
      <c r="E10" s="14" t="s">
        <v>20</v>
      </c>
      <c r="F10" s="15">
        <f>SUM(E9:F9)</f>
        <v>0</v>
      </c>
      <c r="G10" s="14" t="s">
        <v>21</v>
      </c>
      <c r="H10" s="15">
        <f>SUM(G9:H9)</f>
        <v>0</v>
      </c>
      <c r="I10" s="14" t="s">
        <v>22</v>
      </c>
      <c r="J10" s="15">
        <f>SUM(I9:J9)</f>
        <v>0</v>
      </c>
      <c r="K10" s="14" t="s">
        <v>23</v>
      </c>
      <c r="L10" s="15">
        <f>SUM(K9:L9)</f>
        <v>0</v>
      </c>
      <c r="M10" s="14" t="s">
        <v>24</v>
      </c>
      <c r="N10" s="15">
        <f>SUM(M9:N9)</f>
        <v>0</v>
      </c>
      <c r="O10" s="14" t="s">
        <v>25</v>
      </c>
      <c r="P10" s="15">
        <f>SUM(O9:P9)</f>
        <v>0</v>
      </c>
      <c r="Q10" s="16">
        <f>SUM(B10,D10,F10,H10,J10,L10,N10,P10)</f>
        <v>0</v>
      </c>
    </row>
    <row r="11" spans="1:17" x14ac:dyDescent="0.45">
      <c r="A11" s="1" t="s">
        <v>26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45">
      <c r="A12" s="1" t="s">
        <v>26</v>
      </c>
      <c r="B12" s="17"/>
      <c r="C12" s="17"/>
      <c r="D12" s="17"/>
      <c r="E12" s="17"/>
      <c r="F12" s="17"/>
      <c r="G12" s="17"/>
      <c r="H12" s="17"/>
      <c r="I12" s="17" t="s">
        <v>26</v>
      </c>
      <c r="J12" s="17"/>
      <c r="K12" s="17"/>
      <c r="L12" s="17"/>
      <c r="M12" s="18" t="s">
        <v>27</v>
      </c>
      <c r="N12" s="19"/>
      <c r="O12" s="20" t="s">
        <v>28</v>
      </c>
      <c r="P12" s="20"/>
      <c r="Q12" s="21" t="s">
        <v>17</v>
      </c>
    </row>
    <row r="13" spans="1:17" x14ac:dyDescent="0.45">
      <c r="A13" s="17"/>
      <c r="B13" s="17"/>
      <c r="C13" s="17"/>
      <c r="D13" s="17"/>
      <c r="E13" s="17"/>
      <c r="F13" s="17"/>
      <c r="G13" s="17"/>
      <c r="H13" s="17" t="s">
        <v>26</v>
      </c>
      <c r="I13" s="17"/>
      <c r="J13" s="17"/>
      <c r="K13" s="17"/>
      <c r="L13" s="17"/>
      <c r="M13" s="22"/>
      <c r="N13" s="23"/>
      <c r="O13" s="24"/>
      <c r="P13" s="24"/>
      <c r="Q13" s="25"/>
    </row>
    <row r="14" spans="1:17" ht="14.65" thickBot="1" x14ac:dyDescent="0.5">
      <c r="A14" s="1" t="s">
        <v>26</v>
      </c>
      <c r="B14" s="1"/>
      <c r="C14" s="1"/>
      <c r="D14" s="1"/>
      <c r="E14" s="1"/>
      <c r="F14" s="1" t="s">
        <v>26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45">
      <c r="A15" s="26" t="s">
        <v>29</v>
      </c>
      <c r="B15" s="27" t="s">
        <v>30</v>
      </c>
      <c r="C15" s="27" t="s">
        <v>31</v>
      </c>
      <c r="D15" s="27" t="s">
        <v>32</v>
      </c>
      <c r="E15" s="27" t="s">
        <v>33</v>
      </c>
      <c r="F15" s="27" t="s">
        <v>34</v>
      </c>
      <c r="G15" s="27" t="s">
        <v>35</v>
      </c>
      <c r="H15" s="28" t="s">
        <v>36</v>
      </c>
      <c r="I15" s="1"/>
      <c r="J15" s="1"/>
      <c r="K15" s="1"/>
      <c r="L15" s="29"/>
      <c r="M15" s="29"/>
      <c r="N15" s="29"/>
      <c r="O15" s="29"/>
      <c r="P15" s="29"/>
      <c r="Q15" s="29"/>
    </row>
    <row r="16" spans="1:17" ht="14.65" thickBot="1" x14ac:dyDescent="0.5">
      <c r="A16" s="30">
        <f>B10</f>
        <v>0</v>
      </c>
      <c r="B16" s="31">
        <f>D10</f>
        <v>0</v>
      </c>
      <c r="C16" s="31">
        <f>F10</f>
        <v>0</v>
      </c>
      <c r="D16" s="31">
        <f>H10</f>
        <v>0</v>
      </c>
      <c r="E16" s="31">
        <f>J10</f>
        <v>0</v>
      </c>
      <c r="F16" s="31">
        <f>L10</f>
        <v>0</v>
      </c>
      <c r="G16" s="31">
        <f>N10</f>
        <v>0</v>
      </c>
      <c r="H16" s="32">
        <f>P10</f>
        <v>0</v>
      </c>
      <c r="I16" s="33" t="s">
        <v>37</v>
      </c>
      <c r="J16" s="34"/>
      <c r="K16" s="34"/>
      <c r="L16" s="33"/>
      <c r="M16" s="33"/>
      <c r="N16" s="33"/>
      <c r="O16" s="33"/>
      <c r="P16" s="33"/>
      <c r="Q16" s="1"/>
    </row>
    <row r="20" spans="1:16" ht="14.65" thickBot="1" x14ac:dyDescent="0.5"/>
    <row r="21" spans="1:16" x14ac:dyDescent="0.45">
      <c r="A21" s="163" t="s">
        <v>85</v>
      </c>
      <c r="B21" s="164"/>
      <c r="C21" s="164"/>
      <c r="D21" s="164"/>
      <c r="E21" s="164"/>
      <c r="F21" s="164"/>
      <c r="G21" s="164"/>
      <c r="H21" s="164"/>
      <c r="I21" s="164"/>
      <c r="J21" s="164"/>
      <c r="K21" s="80"/>
      <c r="L21" s="80"/>
      <c r="M21" s="80"/>
      <c r="N21" s="80"/>
      <c r="O21" s="80"/>
      <c r="P21" s="80"/>
    </row>
    <row r="22" spans="1:16" ht="14.65" thickBot="1" x14ac:dyDescent="0.5">
      <c r="J22" t="s">
        <v>26</v>
      </c>
    </row>
    <row r="23" spans="1:16" ht="18.399999999999999" thickBot="1" x14ac:dyDescent="0.5">
      <c r="A23" s="165">
        <f ca="1">TODAY()</f>
        <v>43986</v>
      </c>
      <c r="B23" s="167" t="s">
        <v>86</v>
      </c>
      <c r="C23" s="168"/>
      <c r="D23" s="168"/>
      <c r="E23" s="168"/>
      <c r="F23" s="168"/>
      <c r="G23" s="168"/>
      <c r="H23" s="168"/>
      <c r="I23" s="168"/>
      <c r="J23" s="169"/>
    </row>
    <row r="24" spans="1:16" ht="16.149999999999999" thickBot="1" x14ac:dyDescent="0.5">
      <c r="A24" s="166"/>
      <c r="B24" s="81" t="s">
        <v>87</v>
      </c>
      <c r="C24" s="82" t="s">
        <v>88</v>
      </c>
      <c r="D24" s="82" t="s">
        <v>31</v>
      </c>
      <c r="E24" s="82" t="s">
        <v>32</v>
      </c>
      <c r="F24" s="82" t="s">
        <v>33</v>
      </c>
      <c r="G24" s="82" t="s">
        <v>34</v>
      </c>
      <c r="H24" s="82" t="s">
        <v>35</v>
      </c>
      <c r="I24" s="82" t="s">
        <v>36</v>
      </c>
      <c r="J24" s="83" t="s">
        <v>17</v>
      </c>
    </row>
    <row r="25" spans="1:16" ht="15.75" x14ac:dyDescent="0.45">
      <c r="A25" s="84" t="s">
        <v>89</v>
      </c>
      <c r="B25" s="85"/>
      <c r="C25" s="86"/>
      <c r="D25" s="86"/>
      <c r="E25" s="86"/>
      <c r="F25" s="86"/>
      <c r="G25" s="86"/>
      <c r="H25" s="86"/>
      <c r="I25" s="86"/>
      <c r="J25" s="87"/>
      <c r="K25" s="88" t="s">
        <v>90</v>
      </c>
      <c r="L25" s="89" t="s">
        <v>91</v>
      </c>
      <c r="M25" s="80"/>
      <c r="N25" s="80"/>
      <c r="O25" s="80" t="s">
        <v>26</v>
      </c>
      <c r="P25" s="80" t="s">
        <v>26</v>
      </c>
    </row>
    <row r="26" spans="1:16" ht="15.75" x14ac:dyDescent="0.45">
      <c r="A26" s="90" t="s">
        <v>66</v>
      </c>
      <c r="B26" s="91"/>
      <c r="C26" s="92"/>
      <c r="D26" s="92"/>
      <c r="E26" s="92"/>
      <c r="F26" s="92"/>
      <c r="G26" s="92"/>
      <c r="H26" s="92"/>
      <c r="I26" s="92"/>
      <c r="J26" s="93"/>
      <c r="K26" s="94" t="s">
        <v>92</v>
      </c>
      <c r="L26" s="95" t="s">
        <v>93</v>
      </c>
    </row>
    <row r="27" spans="1:16" ht="16.149999999999999" thickBot="1" x14ac:dyDescent="0.5">
      <c r="A27" s="96" t="s">
        <v>67</v>
      </c>
      <c r="B27" s="97"/>
      <c r="C27" s="98"/>
      <c r="D27" s="98"/>
      <c r="E27" s="98"/>
      <c r="F27" s="98"/>
      <c r="G27" s="98"/>
      <c r="H27" s="98"/>
      <c r="I27" s="98"/>
      <c r="J27" s="99"/>
      <c r="K27" s="100" t="s">
        <v>94</v>
      </c>
      <c r="L27" s="101" t="s">
        <v>95</v>
      </c>
      <c r="P27" t="s">
        <v>26</v>
      </c>
    </row>
    <row r="28" spans="1:16" ht="14.65" thickBot="1" x14ac:dyDescent="0.5">
      <c r="A28" s="102" t="s">
        <v>96</v>
      </c>
      <c r="B28" s="103"/>
      <c r="C28" s="104"/>
      <c r="D28" s="104"/>
      <c r="E28" s="104"/>
      <c r="F28" s="104"/>
      <c r="G28" s="104"/>
      <c r="H28" s="104"/>
      <c r="I28" s="105"/>
      <c r="J28" s="106"/>
      <c r="K28" s="107" t="s">
        <v>97</v>
      </c>
      <c r="L28" s="108" t="s">
        <v>98</v>
      </c>
    </row>
    <row r="29" spans="1:16" ht="14.65" thickBot="1" x14ac:dyDescent="0.5"/>
    <row r="30" spans="1:16" ht="22.15" thickBot="1" x14ac:dyDescent="0.5">
      <c r="A30" s="109" t="s">
        <v>99</v>
      </c>
      <c r="B30" s="110" t="e">
        <f t="shared" ref="B30:J30" si="0">(B27/B26)*100</f>
        <v>#DIV/0!</v>
      </c>
      <c r="C30" s="110" t="e">
        <f t="shared" si="0"/>
        <v>#DIV/0!</v>
      </c>
      <c r="D30" s="110" t="e">
        <f t="shared" si="0"/>
        <v>#DIV/0!</v>
      </c>
      <c r="E30" s="110" t="e">
        <f t="shared" si="0"/>
        <v>#DIV/0!</v>
      </c>
      <c r="F30" s="110" t="e">
        <f t="shared" si="0"/>
        <v>#DIV/0!</v>
      </c>
      <c r="G30" s="110" t="e">
        <f t="shared" si="0"/>
        <v>#DIV/0!</v>
      </c>
      <c r="H30" s="110" t="e">
        <f t="shared" si="0"/>
        <v>#DIV/0!</v>
      </c>
      <c r="I30" s="110" t="e">
        <f t="shared" si="0"/>
        <v>#DIV/0!</v>
      </c>
      <c r="J30" s="110" t="e">
        <f t="shared" si="0"/>
        <v>#DIV/0!</v>
      </c>
      <c r="L30" s="170" t="s">
        <v>100</v>
      </c>
      <c r="M30" s="171"/>
      <c r="N30" s="172"/>
    </row>
    <row r="31" spans="1:16" ht="24.75" x14ac:dyDescent="0.45">
      <c r="F31" s="111"/>
      <c r="L31" s="112" t="s">
        <v>101</v>
      </c>
      <c r="M31" s="154" t="s">
        <v>102</v>
      </c>
      <c r="N31" s="155"/>
    </row>
    <row r="32" spans="1:16" x14ac:dyDescent="0.45">
      <c r="A32" s="156" t="s">
        <v>103</v>
      </c>
      <c r="B32" s="156"/>
      <c r="C32" s="156"/>
      <c r="D32" s="156"/>
      <c r="E32" s="156"/>
      <c r="F32" s="156"/>
      <c r="G32" s="156"/>
      <c r="H32" s="156"/>
      <c r="I32" s="156"/>
      <c r="J32" s="156"/>
      <c r="L32" s="113">
        <v>0.09</v>
      </c>
      <c r="M32" s="132">
        <v>0.9</v>
      </c>
      <c r="N32" s="133"/>
    </row>
    <row r="33" spans="1:16" ht="14.65" thickBot="1" x14ac:dyDescent="0.5">
      <c r="L33" s="113">
        <v>0.1</v>
      </c>
      <c r="M33" s="132">
        <v>0.85</v>
      </c>
      <c r="N33" s="133"/>
    </row>
    <row r="34" spans="1:16" ht="18.399999999999999" thickBot="1" x14ac:dyDescent="0.6">
      <c r="A34" s="114">
        <f ca="1">TODAY()</f>
        <v>43986</v>
      </c>
      <c r="B34" s="157" t="s">
        <v>104</v>
      </c>
      <c r="C34" s="158"/>
      <c r="L34" s="113">
        <v>0.11</v>
      </c>
      <c r="M34" s="132">
        <v>0.8</v>
      </c>
      <c r="N34" s="133"/>
    </row>
    <row r="35" spans="1:16" ht="14.65" thickBot="1" x14ac:dyDescent="0.5">
      <c r="A35" s="115" t="s">
        <v>105</v>
      </c>
      <c r="B35" s="148"/>
      <c r="C35" s="149"/>
      <c r="L35" s="116">
        <v>0.125</v>
      </c>
      <c r="M35" s="132">
        <v>0.75</v>
      </c>
      <c r="N35" s="133"/>
    </row>
    <row r="36" spans="1:16" x14ac:dyDescent="0.45">
      <c r="A36" s="117" t="s">
        <v>106</v>
      </c>
      <c r="B36" s="150"/>
      <c r="C36" s="151"/>
      <c r="D36" s="88" t="s">
        <v>90</v>
      </c>
      <c r="E36" s="89" t="s">
        <v>91</v>
      </c>
      <c r="L36" s="113">
        <v>0.14000000000000001</v>
      </c>
      <c r="M36" s="132">
        <v>0.7</v>
      </c>
      <c r="N36" s="133"/>
    </row>
    <row r="37" spans="1:16" ht="14.65" thickBot="1" x14ac:dyDescent="0.5">
      <c r="A37" s="117" t="s">
        <v>107</v>
      </c>
      <c r="B37" s="152"/>
      <c r="C37" s="153"/>
      <c r="D37" s="94" t="s">
        <v>92</v>
      </c>
      <c r="E37" s="95" t="s">
        <v>93</v>
      </c>
      <c r="K37" s="118"/>
      <c r="L37" s="113">
        <v>0.16</v>
      </c>
      <c r="M37" s="132">
        <v>0.65</v>
      </c>
      <c r="N37" s="133"/>
    </row>
    <row r="38" spans="1:16" ht="18.399999999999999" thickBot="1" x14ac:dyDescent="0.5">
      <c r="A38" s="119" t="s">
        <v>108</v>
      </c>
      <c r="B38" s="130"/>
      <c r="C38" s="131"/>
      <c r="D38" s="100" t="s">
        <v>94</v>
      </c>
      <c r="E38" s="101" t="s">
        <v>95</v>
      </c>
      <c r="K38" s="118"/>
      <c r="L38" s="113">
        <v>0.2</v>
      </c>
      <c r="M38" s="132">
        <v>0.6</v>
      </c>
      <c r="N38" s="133"/>
      <c r="O38" s="120" t="s">
        <v>26</v>
      </c>
    </row>
    <row r="39" spans="1:16" ht="14.65" thickBot="1" x14ac:dyDescent="0.5">
      <c r="A39" s="121" t="s">
        <v>109</v>
      </c>
      <c r="B39" s="134"/>
      <c r="C39" s="135"/>
      <c r="D39" s="107" t="s">
        <v>97</v>
      </c>
      <c r="E39" s="108" t="s">
        <v>98</v>
      </c>
      <c r="K39" s="118"/>
      <c r="L39" s="113">
        <v>0.25</v>
      </c>
      <c r="M39" s="136">
        <v>0.55000000000000004</v>
      </c>
      <c r="N39" s="137"/>
      <c r="O39" s="138" t="s">
        <v>110</v>
      </c>
      <c r="P39" s="139"/>
    </row>
    <row r="40" spans="1:16" x14ac:dyDescent="0.45">
      <c r="L40" s="122">
        <v>0.3</v>
      </c>
      <c r="M40" s="136">
        <v>0.5</v>
      </c>
      <c r="N40" s="137"/>
      <c r="O40" s="140"/>
      <c r="P40" s="141"/>
    </row>
    <row r="41" spans="1:16" x14ac:dyDescent="0.45">
      <c r="A41" s="123" t="s">
        <v>111</v>
      </c>
      <c r="B41" s="144" t="e">
        <f>(B37/B36)*100</f>
        <v>#DIV/0!</v>
      </c>
      <c r="C41" s="145"/>
      <c r="L41" s="122">
        <v>0.45</v>
      </c>
      <c r="M41" s="136">
        <v>0.35</v>
      </c>
      <c r="N41" s="137"/>
      <c r="O41" s="140"/>
      <c r="P41" s="141"/>
    </row>
    <row r="42" spans="1:16" ht="18.399999999999999" thickBot="1" x14ac:dyDescent="0.6">
      <c r="B42" s="124"/>
      <c r="C42" s="124"/>
      <c r="D42" s="124"/>
      <c r="L42" s="125">
        <v>0.5</v>
      </c>
      <c r="M42" s="146">
        <v>0.25</v>
      </c>
      <c r="N42" s="147"/>
      <c r="O42" s="142"/>
      <c r="P42" s="143"/>
    </row>
  </sheetData>
  <mergeCells count="26">
    <mergeCell ref="F1:L2"/>
    <mergeCell ref="A21:J21"/>
    <mergeCell ref="A23:A24"/>
    <mergeCell ref="B23:J23"/>
    <mergeCell ref="L30:N30"/>
    <mergeCell ref="M31:N31"/>
    <mergeCell ref="A32:J32"/>
    <mergeCell ref="M32:N32"/>
    <mergeCell ref="M33:N33"/>
    <mergeCell ref="B34:C34"/>
    <mergeCell ref="M34:N34"/>
    <mergeCell ref="B35:C35"/>
    <mergeCell ref="M35:N35"/>
    <mergeCell ref="B36:C36"/>
    <mergeCell ref="M36:N36"/>
    <mergeCell ref="B37:C37"/>
    <mergeCell ref="M37:N37"/>
    <mergeCell ref="B38:C38"/>
    <mergeCell ref="M38:N38"/>
    <mergeCell ref="B39:C39"/>
    <mergeCell ref="M39:N39"/>
    <mergeCell ref="O39:P42"/>
    <mergeCell ref="M40:N40"/>
    <mergeCell ref="B41:C41"/>
    <mergeCell ref="M41:N41"/>
    <mergeCell ref="M42:N42"/>
  </mergeCells>
  <conditionalFormatting sqref="B28">
    <cfRule type="cellIs" dxfId="52" priority="46" operator="between">
      <formula>0</formula>
      <formula>25</formula>
    </cfRule>
    <cfRule type="cellIs" dxfId="51" priority="47" operator="between">
      <formula>26</formula>
      <formula>45</formula>
    </cfRule>
    <cfRule type="cellIs" dxfId="50" priority="48" operator="between">
      <formula>46</formula>
      <formula>70</formula>
    </cfRule>
    <cfRule type="cellIs" dxfId="49" priority="49" operator="between">
      <formula>71</formula>
      <formula>1000</formula>
    </cfRule>
    <cfRule type="cellIs" dxfId="48" priority="50" operator="between">
      <formula>25</formula>
      <formula>44</formula>
    </cfRule>
    <cfRule type="cellIs" dxfId="47" priority="51" operator="between">
      <formula>0</formula>
      <formula>24</formula>
    </cfRule>
    <cfRule type="cellIs" dxfId="46" priority="52" operator="between">
      <formula>25</formula>
      <formula>44</formula>
    </cfRule>
    <cfRule type="cellIs" dxfId="45" priority="53" operator="between">
      <formula>45</formula>
      <formula>69</formula>
    </cfRule>
    <cfRule type="cellIs" dxfId="44" priority="54" operator="between">
      <formula>70</formula>
      <formula>1000</formula>
    </cfRule>
  </conditionalFormatting>
  <conditionalFormatting sqref="C28">
    <cfRule type="cellIs" dxfId="43" priority="41" operator="between">
      <formula>71</formula>
      <formula>1000</formula>
    </cfRule>
    <cfRule type="cellIs" dxfId="42" priority="42" operator="between">
      <formula>45</formula>
      <formula>70</formula>
    </cfRule>
    <cfRule type="cellIs" dxfId="41" priority="43" operator="between">
      <formula>26</formula>
      <formula>45</formula>
    </cfRule>
    <cfRule type="cellIs" dxfId="40" priority="44" operator="between">
      <formula>0</formula>
      <formula>25</formula>
    </cfRule>
    <cfRule type="colorScale" priority="45">
      <colorScale>
        <cfvo type="min"/>
        <cfvo type="percentile" val="50"/>
        <cfvo type="max"/>
        <color rgb="FFFF0000"/>
        <color rgb="FFFFFF00"/>
        <color rgb="FF66FF33"/>
      </colorScale>
    </cfRule>
  </conditionalFormatting>
  <conditionalFormatting sqref="D28">
    <cfRule type="cellIs" dxfId="39" priority="37" operator="between">
      <formula>71</formula>
      <formula>1000</formula>
    </cfRule>
    <cfRule type="cellIs" dxfId="38" priority="38" operator="between">
      <formula>46</formula>
      <formula>70</formula>
    </cfRule>
    <cfRule type="cellIs" dxfId="37" priority="39" operator="between">
      <formula>26</formula>
      <formula>45</formula>
    </cfRule>
    <cfRule type="cellIs" dxfId="36" priority="40" operator="between">
      <formula>0</formula>
      <formula>25</formula>
    </cfRule>
  </conditionalFormatting>
  <conditionalFormatting sqref="E28">
    <cfRule type="cellIs" dxfId="35" priority="33" operator="between">
      <formula>71</formula>
      <formula>1000</formula>
    </cfRule>
    <cfRule type="cellIs" dxfId="34" priority="34" operator="between">
      <formula>46</formula>
      <formula>70</formula>
    </cfRule>
    <cfRule type="cellIs" dxfId="33" priority="35" operator="between">
      <formula>26</formula>
      <formula>45</formula>
    </cfRule>
    <cfRule type="cellIs" dxfId="32" priority="36" operator="between">
      <formula>0</formula>
      <formula>25</formula>
    </cfRule>
  </conditionalFormatting>
  <conditionalFormatting sqref="F28">
    <cfRule type="cellIs" dxfId="31" priority="29" operator="between">
      <formula>71</formula>
      <formula>1000</formula>
    </cfRule>
    <cfRule type="cellIs" dxfId="30" priority="30" operator="between">
      <formula>46</formula>
      <formula>70</formula>
    </cfRule>
    <cfRule type="cellIs" dxfId="29" priority="31" operator="between">
      <formula>26</formula>
      <formula>45</formula>
    </cfRule>
    <cfRule type="cellIs" dxfId="28" priority="32" operator="between">
      <formula>0</formula>
      <formula>25</formula>
    </cfRule>
  </conditionalFormatting>
  <conditionalFormatting sqref="G28">
    <cfRule type="cellIs" dxfId="27" priority="25" operator="between">
      <formula>71</formula>
      <formula>1000</formula>
    </cfRule>
    <cfRule type="cellIs" dxfId="26" priority="26" operator="between">
      <formula>46</formula>
      <formula>70</formula>
    </cfRule>
    <cfRule type="cellIs" dxfId="25" priority="27" operator="between">
      <formula>26</formula>
      <formula>45</formula>
    </cfRule>
    <cfRule type="cellIs" dxfId="24" priority="28" operator="between">
      <formula>0</formula>
      <formula>25</formula>
    </cfRule>
  </conditionalFormatting>
  <conditionalFormatting sqref="H28">
    <cfRule type="cellIs" dxfId="23" priority="21" operator="between">
      <formula>71</formula>
      <formula>1000</formula>
    </cfRule>
    <cfRule type="cellIs" dxfId="22" priority="22" operator="between">
      <formula>46</formula>
      <formula>70</formula>
    </cfRule>
    <cfRule type="cellIs" dxfId="21" priority="23" operator="between">
      <formula>26</formula>
      <formula>45</formula>
    </cfRule>
    <cfRule type="cellIs" dxfId="20" priority="24" operator="between">
      <formula>0</formula>
      <formula>25</formula>
    </cfRule>
  </conditionalFormatting>
  <conditionalFormatting sqref="I28">
    <cfRule type="cellIs" dxfId="19" priority="16" operator="between">
      <formula>71</formula>
      <formula>1000</formula>
    </cfRule>
    <cfRule type="cellIs" dxfId="18" priority="17" operator="between">
      <formula>46</formula>
      <formula>70</formula>
    </cfRule>
    <cfRule type="cellIs" dxfId="17" priority="18" operator="between">
      <formula>26</formula>
      <formula>45</formula>
    </cfRule>
    <cfRule type="cellIs" dxfId="16" priority="19" operator="between">
      <formula>0</formula>
      <formula>25</formula>
    </cfRule>
    <cfRule type="cellIs" dxfId="15" priority="20" operator="between">
      <formula>0</formula>
      <formula>25</formula>
    </cfRule>
  </conditionalFormatting>
  <conditionalFormatting sqref="J28">
    <cfRule type="cellIs" dxfId="14" priority="5" operator="between">
      <formula>71</formula>
      <formula>1000</formula>
    </cfRule>
    <cfRule type="cellIs" dxfId="13" priority="6" operator="between">
      <formula>46</formula>
      <formula>70</formula>
    </cfRule>
    <cfRule type="cellIs" dxfId="12" priority="7" operator="between">
      <formula>26</formula>
      <formula>45</formula>
    </cfRule>
    <cfRule type="cellIs" dxfId="11" priority="8" operator="between">
      <formula>0</formula>
      <formula>25</formula>
    </cfRule>
    <cfRule type="cellIs" dxfId="10" priority="9" operator="between">
      <formula>71</formula>
      <formula>1000</formula>
    </cfRule>
    <cfRule type="cellIs" dxfId="9" priority="10" operator="between">
      <formula>46</formula>
      <formula>70</formula>
    </cfRule>
    <cfRule type="cellIs" dxfId="8" priority="11" operator="between">
      <formula>26</formula>
      <formula>45</formula>
    </cfRule>
    <cfRule type="cellIs" dxfId="7" priority="12" operator="between">
      <formula>71</formula>
      <formula>1000</formula>
    </cfRule>
    <cfRule type="cellIs" dxfId="6" priority="13" operator="between">
      <formula>46</formula>
      <formula>70</formula>
    </cfRule>
    <cfRule type="cellIs" dxfId="5" priority="14" operator="between">
      <formula>26</formula>
      <formula>45</formula>
    </cfRule>
    <cfRule type="cellIs" dxfId="4" priority="15" operator="between">
      <formula>0</formula>
      <formula>25</formula>
    </cfRule>
  </conditionalFormatting>
  <conditionalFormatting sqref="B38">
    <cfRule type="cellIs" dxfId="3" priority="1" operator="between">
      <formula>71</formula>
      <formula>1000</formula>
    </cfRule>
    <cfRule type="cellIs" dxfId="2" priority="2" operator="between">
      <formula>46</formula>
      <formula>70</formula>
    </cfRule>
    <cfRule type="cellIs" dxfId="1" priority="3" operator="between">
      <formula>26</formula>
      <formula>45</formula>
    </cfRule>
    <cfRule type="cellIs" dxfId="0" priority="4" operator="between">
      <formula>0</formula>
      <formula>25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AD4E7-35B5-484C-93E4-655F3D81A11F}">
  <sheetPr codeName="Sheet4"/>
  <dimension ref="A1:C15"/>
  <sheetViews>
    <sheetView workbookViewId="0">
      <selection activeCell="B15" sqref="B15"/>
    </sheetView>
  </sheetViews>
  <sheetFormatPr defaultRowHeight="14.25" x14ac:dyDescent="0.45"/>
  <cols>
    <col min="1" max="1" width="54.46484375" bestFit="1" customWidth="1"/>
    <col min="2" max="2" width="13.6640625" bestFit="1" customWidth="1"/>
    <col min="3" max="3" width="56.53125" bestFit="1" customWidth="1"/>
  </cols>
  <sheetData>
    <row r="1" spans="1:3" x14ac:dyDescent="0.45">
      <c r="A1" t="s">
        <v>38</v>
      </c>
      <c r="B1" t="s">
        <v>39</v>
      </c>
      <c r="C1" t="str">
        <f ca="1">"Daily Inventory Report - "&amp;TEXT(TODAY(),"dd/mm/yyyy")</f>
        <v>Daily Inventory Report - 04/06/2020</v>
      </c>
    </row>
    <row r="2" spans="1:3" x14ac:dyDescent="0.45">
      <c r="B2" t="s">
        <v>40</v>
      </c>
      <c r="C2" t="s">
        <v>112</v>
      </c>
    </row>
    <row r="3" spans="1:3" x14ac:dyDescent="0.45">
      <c r="B3" t="s">
        <v>41</v>
      </c>
      <c r="C3" t="str">
        <f ca="1">"C:\***\Daily Inventory Report "&amp;TEXT(TODAY(),"dd-mm-yyyy")&amp;".pdf"</f>
        <v>C:\***\Daily Inventory Report 04-06-2020.pdf</v>
      </c>
    </row>
    <row r="5" spans="1:3" x14ac:dyDescent="0.45">
      <c r="A5" t="s">
        <v>42</v>
      </c>
      <c r="B5" t="s">
        <v>43</v>
      </c>
      <c r="C5" s="36"/>
    </row>
    <row r="6" spans="1:3" x14ac:dyDescent="0.45">
      <c r="B6" t="s">
        <v>44</v>
      </c>
    </row>
    <row r="7" spans="1:3" x14ac:dyDescent="0.45">
      <c r="B7" t="s">
        <v>45</v>
      </c>
      <c r="C7" t="str">
        <f ca="1">"Daily Inventory Report - "&amp;TEXT(TODAY(),"dd/mm/yyyy")</f>
        <v>Daily Inventory Report - 04/06/2020</v>
      </c>
    </row>
    <row r="8" spans="1:3" x14ac:dyDescent="0.45">
      <c r="B8" t="s">
        <v>46</v>
      </c>
      <c r="C8" t="s">
        <v>47</v>
      </c>
    </row>
    <row r="9" spans="1:3" x14ac:dyDescent="0.45">
      <c r="B9" t="s">
        <v>48</v>
      </c>
      <c r="C9" t="str">
        <f ca="1">"C:\****\Daily Inventory Report "&amp;TEXT(TODAY(),"dd-mm-yyyy")&amp;".pdf"</f>
        <v>C:\****\Daily Inventory Report 04-06-2020.pdf</v>
      </c>
    </row>
    <row r="10" spans="1:3" x14ac:dyDescent="0.45">
      <c r="A10" t="s">
        <v>49</v>
      </c>
    </row>
    <row r="12" spans="1:3" x14ac:dyDescent="0.45">
      <c r="A12" t="s">
        <v>50</v>
      </c>
    </row>
    <row r="13" spans="1:3" x14ac:dyDescent="0.45">
      <c r="A13" t="s">
        <v>51</v>
      </c>
    </row>
    <row r="15" spans="1:3" x14ac:dyDescent="0.45">
      <c r="A1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DailyInventory</vt:lpstr>
      <vt:lpstr>IRLInv</vt:lpstr>
      <vt:lpstr>HospInv</vt:lpstr>
      <vt:lpstr>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Ayshwarya Srinivasan</dc:creator>
  <cp:lastModifiedBy>Abhijith Antony</cp:lastModifiedBy>
  <cp:lastPrinted>2020-05-31T10:00:20Z</cp:lastPrinted>
  <dcterms:created xsi:type="dcterms:W3CDTF">2020-03-01T19:30:05Z</dcterms:created>
  <dcterms:modified xsi:type="dcterms:W3CDTF">2020-06-04T11:00:33Z</dcterms:modified>
</cp:coreProperties>
</file>